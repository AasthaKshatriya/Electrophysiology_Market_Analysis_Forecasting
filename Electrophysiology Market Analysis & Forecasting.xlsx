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ml.chartshapes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ml.chartshapes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ml.chartshapes+xml"/>
  <Override PartName="/xl/tables/table2.xml" ContentType="application/vnd.openxmlformats-officedocument.spreadsheetml.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asthakshatriya/Documents/"/>
    </mc:Choice>
  </mc:AlternateContent>
  <xr:revisionPtr revIDLastSave="0" documentId="8_{73205E62-31BF-3043-A9F6-55CA58B6D5BF}" xr6:coauthVersionLast="47" xr6:coauthVersionMax="47" xr10:uidLastSave="{00000000-0000-0000-0000-000000000000}"/>
  <bookViews>
    <workbookView xWindow="-38400" yWindow="-7220" windowWidth="38400" windowHeight="21600" activeTab="2" xr2:uid="{16665972-9069-45BA-8C37-8D2E2EB7E402}"/>
  </bookViews>
  <sheets>
    <sheet name="Raw Market Data" sheetId="1" r:id="rId1"/>
    <sheet name="Transformed Market Data" sheetId="2" r:id="rId2"/>
    <sheet name="Dashboard" sheetId="13" r:id="rId3"/>
    <sheet name="Product Revenue&amp;Units" sheetId="10" r:id="rId4"/>
    <sheet name="Manufacturer Revenue&amp;Units" sheetId="6" r:id="rId5"/>
    <sheet name="Company market share" sheetId="3" r:id="rId6"/>
    <sheet name="Growth trend" sheetId="4" r:id="rId7"/>
    <sheet name="Forecast " sheetId="5" r:id="rId8"/>
    <sheet name="Future Scope" sheetId="8" r:id="rId9"/>
    <sheet name="Market share yearly" sheetId="9" r:id="rId10"/>
    <sheet name="2024 market share by Product" sheetId="11" r:id="rId11"/>
  </sheets>
  <definedNames>
    <definedName name="_xlnm._FilterDatabase" localSheetId="0" hidden="1">'Raw Market Data'!$A$1:$I$397</definedName>
    <definedName name="_xlnm._FilterDatabase" localSheetId="1" hidden="1">'Transformed Market Data'!$A$1:$I$397</definedName>
    <definedName name="CAGR_Revenue">'Forecast '!$B$16</definedName>
    <definedName name="CAGR_Units">'Forecast '!$B$15</definedName>
    <definedName name="JustPulse_Revenue">'Company market share'!$C$4</definedName>
    <definedName name="JustPulse_Units">'Company market share'!$C$3</definedName>
    <definedName name="Manufacturer">'Transformed Market Data'!$F:$F</definedName>
    <definedName name="Market_Revenue">'Company market share'!$B$4</definedName>
    <definedName name="Market_Units">'Company market share'!$B$3</definedName>
    <definedName name="Measure_Names">'Transformed Market Data'!$A:$A</definedName>
    <definedName name="Measure_Vaules">'Transformed Market Data'!$I:$I</definedName>
    <definedName name="Product">'Transformed Market Data'!$B:$B</definedName>
    <definedName name="Revenue_2022">'Forecast '!$C$2</definedName>
    <definedName name="Revenue_2023">'Forecast '!$C$3</definedName>
    <definedName name="Revenue_2024">'Forecast '!$C$4</definedName>
    <definedName name="Units_2022">'Forecast '!$B$2</definedName>
    <definedName name="Units_2023">'Forecast '!$B$3</definedName>
    <definedName name="Units_2024">'Forecast '!$B$4</definedName>
    <definedName name="Year">'Transformed Market Data'!$H:$H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5" l="1"/>
  <c r="B43" i="5"/>
  <c r="C42" i="5"/>
  <c r="B42" i="5"/>
  <c r="C41" i="5"/>
  <c r="B41" i="5"/>
  <c r="C40" i="5"/>
  <c r="B40" i="5"/>
  <c r="C39" i="5"/>
  <c r="B39" i="5"/>
  <c r="C38" i="5"/>
  <c r="B38" i="5"/>
  <c r="C35" i="5"/>
  <c r="B35" i="5"/>
  <c r="C34" i="5"/>
  <c r="B34" i="5"/>
  <c r="C33" i="5"/>
  <c r="B33" i="5"/>
  <c r="C32" i="5"/>
  <c r="B32" i="5"/>
  <c r="C31" i="5"/>
  <c r="B31" i="5"/>
  <c r="C30" i="5"/>
  <c r="B30" i="5"/>
  <c r="C26" i="5"/>
  <c r="C25" i="5"/>
  <c r="C24" i="5"/>
  <c r="B26" i="5"/>
  <c r="B25" i="5"/>
  <c r="B24" i="5"/>
  <c r="C9" i="5"/>
  <c r="Q4" i="11"/>
  <c r="Q5" i="11"/>
  <c r="Q6" i="11"/>
  <c r="Q7" i="11"/>
  <c r="M3" i="11" a="1"/>
  <c r="M3" i="11" s="1"/>
  <c r="N4" i="11"/>
  <c r="O4" i="11"/>
  <c r="P4" i="11" s="1"/>
  <c r="R4" i="11"/>
  <c r="S4" i="11"/>
  <c r="U4" i="11" s="1"/>
  <c r="N5" i="11"/>
  <c r="O5" i="11"/>
  <c r="R5" i="11"/>
  <c r="S5" i="11"/>
  <c r="U5" i="11" s="1"/>
  <c r="N6" i="11"/>
  <c r="O6" i="11"/>
  <c r="P6" i="11" s="1"/>
  <c r="R6" i="11"/>
  <c r="S6" i="11"/>
  <c r="U6" i="11" s="1"/>
  <c r="N7" i="11"/>
  <c r="O7" i="11"/>
  <c r="P7" i="11" s="1"/>
  <c r="R7" i="11"/>
  <c r="S7" i="11"/>
  <c r="U7" i="11" s="1"/>
  <c r="A3" i="8" a="1"/>
  <c r="A3" i="8" s="1"/>
  <c r="B4" i="8"/>
  <c r="C4" i="8"/>
  <c r="D4" i="8" s="1"/>
  <c r="F4" i="8"/>
  <c r="G4" i="8"/>
  <c r="H4" i="8"/>
  <c r="B5" i="8"/>
  <c r="B8" i="8" s="1"/>
  <c r="C5" i="8"/>
  <c r="C8" i="8" s="1"/>
  <c r="F5" i="8"/>
  <c r="G5" i="8"/>
  <c r="B6" i="8"/>
  <c r="C6" i="8"/>
  <c r="D6" i="8" s="1"/>
  <c r="F6" i="8"/>
  <c r="G6" i="8"/>
  <c r="B7" i="8"/>
  <c r="C7" i="8"/>
  <c r="D7" i="8" s="1"/>
  <c r="F7" i="8"/>
  <c r="G7" i="8"/>
  <c r="T4" i="11" l="1"/>
  <c r="N8" i="11"/>
  <c r="P5" i="11"/>
  <c r="T5" i="11"/>
  <c r="R8" i="11"/>
  <c r="O8" i="11"/>
  <c r="T7" i="11"/>
  <c r="T6" i="11"/>
  <c r="S8" i="11"/>
  <c r="D8" i="8"/>
  <c r="E8" i="8"/>
  <c r="F8" i="8"/>
  <c r="E4" i="8"/>
  <c r="E7" i="8"/>
  <c r="E6" i="8"/>
  <c r="E5" i="8"/>
  <c r="D5" i="8"/>
  <c r="H7" i="8"/>
  <c r="H6" i="8"/>
  <c r="H5" i="8"/>
  <c r="G8" i="8"/>
  <c r="U8" i="11" l="1"/>
  <c r="T8" i="11"/>
  <c r="P8" i="11"/>
  <c r="Q8" i="11"/>
  <c r="I8" i="8"/>
  <c r="H8" i="8"/>
  <c r="I5" i="8"/>
  <c r="I7" i="8"/>
  <c r="I4" i="8"/>
  <c r="I6" i="8"/>
  <c r="G5" i="11"/>
  <c r="G6" i="11"/>
  <c r="G7" i="11"/>
  <c r="G4" i="11"/>
  <c r="F5" i="11"/>
  <c r="F6" i="11"/>
  <c r="F7" i="11"/>
  <c r="F4" i="11"/>
  <c r="C5" i="11"/>
  <c r="C6" i="11"/>
  <c r="C7" i="11"/>
  <c r="C4" i="11"/>
  <c r="B8" i="11"/>
  <c r="B5" i="11"/>
  <c r="B6" i="11"/>
  <c r="B7" i="11"/>
  <c r="B4" i="11"/>
  <c r="A3" i="11" a="1"/>
  <c r="A3" i="11" s="1"/>
  <c r="B3" i="3"/>
  <c r="C3" i="3"/>
  <c r="D3" i="3" s="1"/>
  <c r="B4" i="3"/>
  <c r="C4" i="3"/>
  <c r="D4" i="3" s="1"/>
  <c r="B15" i="5"/>
  <c r="B16" i="5"/>
  <c r="B7" i="5"/>
  <c r="K1" i="2" a="1"/>
  <c r="K1" i="2" s="1"/>
  <c r="C14" i="4"/>
  <c r="C8" i="4"/>
  <c r="B14" i="4"/>
  <c r="B8" i="4"/>
  <c r="C13" i="4"/>
  <c r="C7" i="4"/>
  <c r="B13" i="4"/>
  <c r="B7" i="4"/>
  <c r="C12" i="4"/>
  <c r="C4" i="4"/>
  <c r="B12" i="4"/>
  <c r="B4" i="4"/>
  <c r="C11" i="4"/>
  <c r="C3" i="4"/>
  <c r="B11" i="4"/>
  <c r="B3" i="4"/>
  <c r="C4" i="5"/>
  <c r="B4" i="5"/>
  <c r="C3" i="5"/>
  <c r="B3" i="5"/>
  <c r="C2" i="5"/>
  <c r="B2" i="5"/>
  <c r="C8" i="5"/>
  <c r="C7" i="5"/>
  <c r="B9" i="5"/>
  <c r="B8" i="5"/>
  <c r="B12" i="5" l="1"/>
  <c r="C12" i="5"/>
  <c r="B21" i="5"/>
  <c r="C20" i="5"/>
  <c r="C13" i="5"/>
  <c r="B20" i="5"/>
  <c r="B13" i="5"/>
  <c r="D7" i="11" l="1"/>
  <c r="H7" i="11"/>
  <c r="H5" i="11"/>
  <c r="D6" i="11"/>
  <c r="D5" i="11"/>
  <c r="D4" i="11"/>
  <c r="C8" i="11"/>
  <c r="E4" i="11" s="1"/>
  <c r="H4" i="11"/>
  <c r="G8" i="11"/>
  <c r="H6" i="11"/>
  <c r="F8" i="11"/>
  <c r="B19" i="5"/>
  <c r="C21" i="5"/>
  <c r="C19" i="5"/>
  <c r="E6" i="11" l="1"/>
  <c r="I8" i="11"/>
  <c r="H8" i="11"/>
  <c r="I4" i="11"/>
  <c r="D8" i="11"/>
  <c r="E8" i="11"/>
  <c r="I5" i="11"/>
  <c r="I7" i="11"/>
  <c r="E5" i="11"/>
  <c r="I6" i="11"/>
  <c r="E7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<sst xmlns="http://schemas.openxmlformats.org/spreadsheetml/2006/main" count="4840" uniqueCount="145">
  <si>
    <t>Measure Names</t>
  </si>
  <si>
    <t>Product Type</t>
  </si>
  <si>
    <t>Subtype 2</t>
  </si>
  <si>
    <t>Energy Modality</t>
  </si>
  <si>
    <t>Subtype 3</t>
  </si>
  <si>
    <t>Manufacturer</t>
  </si>
  <si>
    <t>Model</t>
  </si>
  <si>
    <t>Measure Values</t>
  </si>
  <si>
    <t>Accessories</t>
  </si>
  <si>
    <t>Reference Patch</t>
  </si>
  <si>
    <t>EnSite X</t>
  </si>
  <si>
    <t>EnSite Precision</t>
  </si>
  <si>
    <t>EnSite NavX</t>
  </si>
  <si>
    <t>Ensite NavX</t>
  </si>
  <si>
    <t>Rhythmia</t>
  </si>
  <si>
    <t>Carto 3</t>
  </si>
  <si>
    <t>Affera</t>
  </si>
  <si>
    <t>Diagnostic</t>
  </si>
  <si>
    <t>Advanced</t>
  </si>
  <si>
    <t>Advanced/3D mapping</t>
  </si>
  <si>
    <t>Advisor HD Grid X</t>
  </si>
  <si>
    <t>Advisor HD</t>
  </si>
  <si>
    <t>Livewire</t>
  </si>
  <si>
    <t>FIRMap</t>
  </si>
  <si>
    <t>IntellaMap Orion</t>
  </si>
  <si>
    <t>CONSTELLATION</t>
  </si>
  <si>
    <t>Pentaray NAV eco</t>
  </si>
  <si>
    <t>Optrell</t>
  </si>
  <si>
    <t>OCTARAY</t>
  </si>
  <si>
    <t>DECANAV</t>
  </si>
  <si>
    <t>Loop</t>
  </si>
  <si>
    <t>Reflexion Spiral</t>
  </si>
  <si>
    <t>Reflexion HD</t>
  </si>
  <si>
    <t>Afocus</t>
  </si>
  <si>
    <t>Advisor VL</t>
  </si>
  <si>
    <t>Advisor FL</t>
  </si>
  <si>
    <t>Optima</t>
  </si>
  <si>
    <t>POLARMAP</t>
  </si>
  <si>
    <t>Lasso Nav eco EO</t>
  </si>
  <si>
    <t>Lasso Nav eco</t>
  </si>
  <si>
    <t>Lasso NAV</t>
  </si>
  <si>
    <t>Lasso 2515 Variable Circular</t>
  </si>
  <si>
    <t>Lasso 2515 Nav eco Variable</t>
  </si>
  <si>
    <t>Lasso</t>
  </si>
  <si>
    <t>Achieve</t>
  </si>
  <si>
    <t>Therapeutic</t>
  </si>
  <si>
    <t>Cryo</t>
  </si>
  <si>
    <t>POLARx Fit ST</t>
  </si>
  <si>
    <t>POLARx Fit LT</t>
  </si>
  <si>
    <t>Freezor Xtra</t>
  </si>
  <si>
    <t>Freezor Max</t>
  </si>
  <si>
    <t>Freezor</t>
  </si>
  <si>
    <t>Arctic Front Advance Pro</t>
  </si>
  <si>
    <t>Arctic Front Advance</t>
  </si>
  <si>
    <t>Arctic Front</t>
  </si>
  <si>
    <t>PFA</t>
  </si>
  <si>
    <t>FaraWave Nav</t>
  </si>
  <si>
    <t>FaraWave</t>
  </si>
  <si>
    <t>Farapoint</t>
  </si>
  <si>
    <t>Varipulse</t>
  </si>
  <si>
    <t>Sphere-9</t>
  </si>
  <si>
    <t>PulseSelect</t>
  </si>
  <si>
    <t>RF</t>
  </si>
  <si>
    <t>Therapy Cool Path</t>
  </si>
  <si>
    <t>TactiFlex</t>
  </si>
  <si>
    <t>TactiCath Sensor Enabled</t>
  </si>
  <si>
    <t>FlexAbility SE</t>
  </si>
  <si>
    <t>FlexAbility</t>
  </si>
  <si>
    <t>TactiCath Quartz</t>
  </si>
  <si>
    <t>TactiCath</t>
  </si>
  <si>
    <t>IntellaTip MIFI OI</t>
  </si>
  <si>
    <t>Intellanav OI</t>
  </si>
  <si>
    <t>Intellanav MIFI OI</t>
  </si>
  <si>
    <t>BLAZER Open Irrigated</t>
  </si>
  <si>
    <t>ThermoCool SmartTouch SF</t>
  </si>
  <si>
    <t>ThermoCool SmartTouch</t>
  </si>
  <si>
    <t>ThermoCool SF NAV</t>
  </si>
  <si>
    <t>ThermoCool SF</t>
  </si>
  <si>
    <t>QDOT</t>
  </si>
  <si>
    <t>NaviStar ThermoCool</t>
  </si>
  <si>
    <t>NaviStar RMT ThermoCool</t>
  </si>
  <si>
    <t>EZ Steer ThermoCool NAV</t>
  </si>
  <si>
    <t>EZ Steer ThermoCool</t>
  </si>
  <si>
    <t>Celsius ThermoCool RMT</t>
  </si>
  <si>
    <t>Celsius ThermoCool</t>
  </si>
  <si>
    <t>DiamondTemp</t>
  </si>
  <si>
    <t>Ultrasound</t>
  </si>
  <si>
    <t>2D</t>
  </si>
  <si>
    <t>ViewFlex Plus</t>
  </si>
  <si>
    <t>ULTRA ICE Plus</t>
  </si>
  <si>
    <t>SoundStar eco</t>
  </si>
  <si>
    <t>SoundStar Crystal</t>
  </si>
  <si>
    <t>SoundStar</t>
  </si>
  <si>
    <t>ACUNAV</t>
  </si>
  <si>
    <t>3D/4D</t>
  </si>
  <si>
    <t>NuVision Catheter</t>
  </si>
  <si>
    <t>NuVision</t>
  </si>
  <si>
    <t>Revenue</t>
  </si>
  <si>
    <t>Units</t>
  </si>
  <si>
    <t>Year</t>
  </si>
  <si>
    <t>Atria Medical</t>
  </si>
  <si>
    <t>BeneLife Devices</t>
  </si>
  <si>
    <t>MediStream Solutions</t>
  </si>
  <si>
    <t>JustPulse Medical</t>
  </si>
  <si>
    <t xml:space="preserve">Market </t>
  </si>
  <si>
    <t>JustPulse  Medical</t>
  </si>
  <si>
    <t>Growth trend in unit sales and revenue over the past three years (2022 → 2024)</t>
  </si>
  <si>
    <t>YoY Market Growth</t>
  </si>
  <si>
    <t>2023 vs 2022</t>
  </si>
  <si>
    <t>2024 vs 2023</t>
  </si>
  <si>
    <t>YoY JustPulse Medical Growth</t>
  </si>
  <si>
    <t>Compound Annual Growth Rate Units (2022 → 2024)</t>
  </si>
  <si>
    <t>Compound Annual Growth Rate Revenue (2022 → 2024)</t>
  </si>
  <si>
    <t>Forecast Market  (2025–2027)</t>
  </si>
  <si>
    <t>Total Market  by year</t>
  </si>
  <si>
    <t>JustPulse Medical Market by Year</t>
  </si>
  <si>
    <t>YoY growth</t>
  </si>
  <si>
    <t>Sum of Measure Values</t>
  </si>
  <si>
    <t>Measure</t>
  </si>
  <si>
    <t xml:space="preserve"> Share (%)</t>
  </si>
  <si>
    <t>Current Market Share of JustPulse Medical (2024)</t>
  </si>
  <si>
    <t>Comparison</t>
  </si>
  <si>
    <t>Units Growth</t>
  </si>
  <si>
    <t>Revenue Growth</t>
  </si>
  <si>
    <t>Market 2023 vs 2022</t>
  </si>
  <si>
    <t>Market 2024 vs 2023</t>
  </si>
  <si>
    <t>JustPulse 2023 vs 2022</t>
  </si>
  <si>
    <t>JustPulse 2024 vs 2023</t>
  </si>
  <si>
    <r>
      <t xml:space="preserve">Market revenue is </t>
    </r>
    <r>
      <rPr>
        <b/>
        <sz val="11"/>
        <color theme="1"/>
        <rFont val="Aptos Narrow"/>
        <family val="2"/>
        <scheme val="minor"/>
      </rPr>
      <t>booming in 2024 (+41%)</t>
    </r>
    <r>
      <rPr>
        <sz val="11"/>
        <color theme="1"/>
        <rFont val="Aptos Narrow"/>
        <family val="2"/>
        <scheme val="minor"/>
      </rPr>
      <t xml:space="preserve">, but JustPulse is only growing </t>
    </r>
    <r>
      <rPr>
        <b/>
        <sz val="11"/>
        <color theme="1"/>
        <rFont val="Aptos Narrow"/>
        <family val="2"/>
        <scheme val="minor"/>
      </rPr>
      <t>+14%</t>
    </r>
    <r>
      <rPr>
        <sz val="11"/>
        <color theme="1"/>
        <rFont val="Aptos Narrow"/>
        <family val="2"/>
        <scheme val="minor"/>
      </rPr>
      <t xml:space="preserve"> → lagging behind.</t>
    </r>
  </si>
  <si>
    <r>
      <t xml:space="preserve">Units growth: JustPulse was ahead in 2023, but in 2024 it falls </t>
    </r>
    <r>
      <rPr>
        <b/>
        <sz val="11"/>
        <color theme="1"/>
        <rFont val="Aptos Narrow"/>
        <family val="2"/>
        <scheme val="minor"/>
      </rPr>
      <t>below market growth</t>
    </r>
    <r>
      <rPr>
        <sz val="11"/>
        <color theme="1"/>
        <rFont val="Aptos Narrow"/>
        <family val="2"/>
        <scheme val="minor"/>
      </rPr>
      <t xml:space="preserve"> → losing competitiveness.</t>
    </r>
  </si>
  <si>
    <t>Column Labels</t>
  </si>
  <si>
    <t>Row Labels</t>
  </si>
  <si>
    <t>JustPulse is still largest in absolute revenue &amp; units, but…
BeneLife explodes in 2024:
Units grow from 16K → 62K (+280%).
Revenue skyrockets $32M → $417M.
Atria is steady growth across both metrics.
MediStream flat in revenue and actually declines in units from 62K → 47K in 2024.</t>
  </si>
  <si>
    <t>Units 2022</t>
  </si>
  <si>
    <t>Units 2024</t>
  </si>
  <si>
    <t>Total Market</t>
  </si>
  <si>
    <t>CAGR(Units)</t>
  </si>
  <si>
    <t>Revenue 2022</t>
  </si>
  <si>
    <t>Revenue 2024</t>
  </si>
  <si>
    <t>CAGR(Revenue)</t>
  </si>
  <si>
    <t>2024 Market Share(Revenue)</t>
  </si>
  <si>
    <t>2024 Market Share (Units)</t>
  </si>
  <si>
    <t>Grand Total</t>
  </si>
  <si>
    <r>
      <rPr>
        <u/>
        <sz val="11"/>
        <color theme="1"/>
        <rFont val="Aptos Narrow"/>
        <family val="2"/>
        <scheme val="minor"/>
      </rPr>
      <t>1</t>
    </r>
    <r>
      <rPr>
        <u/>
        <sz val="11"/>
        <color theme="1"/>
        <rFont val="Aptos Narrow (Body)"/>
      </rPr>
      <t>. Current Position</t>
    </r>
    <r>
      <rPr>
        <sz val="11"/>
        <color theme="1"/>
        <rFont val="Aptos Narrow"/>
        <family val="2"/>
        <scheme val="minor"/>
      </rPr>
      <t xml:space="preserve">
Still the market leader (53.2% revenue share, 63.8% unit share in 2024).
But growth is slower than overall market (Revenue CAGR +16.5% vs Market +28.3%).
Risk of being overtaken if BeneLife maintains hypergrowth.
</t>
    </r>
    <r>
      <rPr>
        <u/>
        <sz val="11"/>
        <color theme="1"/>
        <rFont val="Aptos Narrow"/>
        <family val="2"/>
        <scheme val="minor"/>
      </rPr>
      <t>2</t>
    </r>
    <r>
      <rPr>
        <u/>
        <sz val="11"/>
        <color theme="1"/>
        <rFont val="Aptos Narrow (Body)"/>
      </rPr>
      <t>. Competitive Landscape</t>
    </r>
    <r>
      <rPr>
        <sz val="11"/>
        <color theme="1"/>
        <rFont val="Aptos Narrow"/>
        <family val="2"/>
        <scheme val="minor"/>
      </rPr>
      <t xml:space="preserve">
BeneLife Devices: Disruptor, massive +323% revenue CAGR, +119% unit CAGR. Gained 20% revenue share in just 2 years → primary threat.
Atria Medical: Consistent double-digit growth (+15% units CAGR, +21% revenue CAGR). Likely to keep building share steadily.
MediStream Solutions: Weak growth (–11% units CAGR). Minimal threat, possible acquisition opportunity.
</t>
    </r>
    <r>
      <rPr>
        <u/>
        <sz val="11"/>
        <color theme="1"/>
        <rFont val="Aptos Narrow (Body)"/>
      </rPr>
      <t>3. Strategic Recommendations</t>
    </r>
    <r>
      <rPr>
        <sz val="11"/>
        <color theme="1"/>
        <rFont val="Aptos Narrow"/>
        <family val="2"/>
        <scheme val="minor"/>
      </rPr>
      <t xml:space="preserve">
Defend Core Leadership:
Lock in partnerships with top hospitals &amp; clinics.
Invest in next-gen product innovation (premium features, better integration).
Counter BeneLife’s Disruption:
Compete on pricing &amp; bundled offerings.
Expand into fastest-growing segments where BeneLife is gaining traction.
Sustain Growth:
Target underpenetrated geographies or product categories.
Explore M&amp;A with MediStream to consolidate share.
Long-Term Play:
Strengthen brand positioning → emphasize reliability, scale, and clinical evidence.
Push into adjacent categories (accessories, new modalities).</t>
    </r>
  </si>
  <si>
    <t>JustPulse Medical Forecast Market  (2025–2027)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</si>
</sst>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,,&quot;M&quot;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b/>
      <sz val="14"/>
      <color theme="1"/>
      <name val="Calibri"/>
      <family val="2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u/>
      <sz val="11"/>
      <color theme="1"/>
      <name val="Aptos Narrow (Body)"/>
    </font>
    <font>
      <u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7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16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0" fillId="0" borderId="0" xfId="0" pivotButton="1"/>
    <xf numFmtId="0" fontId="20" fillId="0" borderId="0" xfId="0" applyFont="1"/>
    <xf numFmtId="3" fontId="20" fillId="0" borderId="0" xfId="0" applyNumberFormat="1" applyFont="1"/>
    <xf numFmtId="0" fontId="19" fillId="33" borderId="0" xfId="0" applyFont="1" applyFill="1" applyAlignment="1">
      <alignment horizontal="center"/>
    </xf>
    <xf numFmtId="3" fontId="16" fillId="0" borderId="0" xfId="0" applyNumberFormat="1" applyFont="1"/>
    <xf numFmtId="0" fontId="0" fillId="35" borderId="0" xfId="0" applyFill="1"/>
    <xf numFmtId="165" fontId="0" fillId="0" borderId="0" xfId="0" applyNumberFormat="1"/>
    <xf numFmtId="9" fontId="0" fillId="0" borderId="0" xfId="0" applyNumberFormat="1"/>
    <xf numFmtId="9" fontId="16" fillId="0" borderId="0" xfId="0" applyNumberFormat="1" applyFont="1"/>
    <xf numFmtId="0" fontId="0" fillId="0" borderId="0" xfId="0" applyAlignment="1">
      <alignment horizontal="left"/>
    </xf>
    <xf numFmtId="41" fontId="0" fillId="36" borderId="0" xfId="42" applyNumberFormat="1" applyFont="1" applyFill="1"/>
    <xf numFmtId="164" fontId="0" fillId="36" borderId="0" xfId="44" applyNumberFormat="1" applyFont="1" applyFill="1" applyAlignment="1">
      <alignment horizontal="center"/>
    </xf>
    <xf numFmtId="165" fontId="0" fillId="36" borderId="0" xfId="0" applyNumberFormat="1" applyFill="1" applyAlignment="1">
      <alignment horizontal="right"/>
    </xf>
    <xf numFmtId="164" fontId="0" fillId="36" borderId="0" xfId="0" applyNumberFormat="1" applyFill="1" applyAlignment="1">
      <alignment horizontal="center"/>
    </xf>
    <xf numFmtId="3" fontId="1" fillId="36" borderId="0" xfId="35" applyNumberFormat="1" applyFill="1" applyBorder="1" applyAlignment="1">
      <alignment horizontal="center"/>
    </xf>
    <xf numFmtId="164" fontId="23" fillId="36" borderId="0" xfId="34" applyNumberFormat="1" applyFont="1" applyFill="1" applyAlignment="1">
      <alignment horizontal="center"/>
    </xf>
    <xf numFmtId="0" fontId="24" fillId="36" borderId="0" xfId="6" applyFont="1" applyFill="1"/>
    <xf numFmtId="164" fontId="1" fillId="36" borderId="0" xfId="27" applyNumberFormat="1" applyFill="1" applyAlignment="1">
      <alignment horizontal="center"/>
    </xf>
    <xf numFmtId="0" fontId="0" fillId="36" borderId="0" xfId="0" applyFill="1"/>
    <xf numFmtId="0" fontId="19" fillId="36" borderId="0" xfId="19" applyFont="1" applyFill="1" applyBorder="1"/>
    <xf numFmtId="41" fontId="20" fillId="36" borderId="0" xfId="42" applyNumberFormat="1" applyFont="1" applyFill="1" applyBorder="1"/>
    <xf numFmtId="3" fontId="20" fillId="36" borderId="0" xfId="42" applyNumberFormat="1" applyFont="1" applyFill="1" applyBorder="1"/>
    <xf numFmtId="164" fontId="20" fillId="36" borderId="0" xfId="44" applyNumberFormat="1" applyFont="1" applyFill="1" applyBorder="1" applyAlignment="1">
      <alignment horizontal="center"/>
    </xf>
    <xf numFmtId="165" fontId="20" fillId="36" borderId="0" xfId="43" applyNumberFormat="1" applyFont="1" applyFill="1" applyBorder="1"/>
    <xf numFmtId="0" fontId="16" fillId="35" borderId="10" xfId="0" applyFont="1" applyFill="1" applyBorder="1"/>
    <xf numFmtId="0" fontId="5" fillId="35" borderId="0" xfId="0" applyFont="1" applyFill="1"/>
    <xf numFmtId="0" fontId="1" fillId="36" borderId="0" xfId="35" applyFill="1" applyBorder="1"/>
    <xf numFmtId="165" fontId="1" fillId="36" borderId="0" xfId="35" applyNumberFormat="1" applyFill="1" applyBorder="1" applyAlignment="1">
      <alignment horizontal="center"/>
    </xf>
    <xf numFmtId="164" fontId="1" fillId="36" borderId="0" xfId="35" applyNumberFormat="1" applyFill="1" applyBorder="1" applyAlignment="1">
      <alignment horizontal="center"/>
    </xf>
    <xf numFmtId="0" fontId="25" fillId="35" borderId="10" xfId="35" applyFont="1" applyFill="1" applyBorder="1"/>
    <xf numFmtId="0" fontId="21" fillId="35" borderId="10" xfId="35" applyFont="1" applyFill="1" applyBorder="1"/>
    <xf numFmtId="0" fontId="26" fillId="35" borderId="10" xfId="35" applyFont="1" applyFill="1" applyBorder="1"/>
    <xf numFmtId="165" fontId="0" fillId="36" borderId="0" xfId="0" applyNumberFormat="1" applyFill="1"/>
    <xf numFmtId="0" fontId="0" fillId="36" borderId="0" xfId="0" applyFill="1" applyAlignment="1">
      <alignment horizontal="left"/>
    </xf>
    <xf numFmtId="3" fontId="0" fillId="36" borderId="0" xfId="0" applyNumberFormat="1" applyFill="1"/>
    <xf numFmtId="0" fontId="0" fillId="0" borderId="0" xfId="0" applyAlignment="1">
      <alignment horizontal="left" indent="1"/>
    </xf>
    <xf numFmtId="0" fontId="22" fillId="34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37" borderId="0" xfId="0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Style 1" xfId="45" xr:uid="{31528E55-EA3C-F242-B6DB-6843D21911CB}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165" formatCode="&quot;$&quot;#,##0,,&quot;M&quot;"/>
    </dxf>
    <dxf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5" formatCode="&quot;$&quot;#,##0,,&quot;M&quot;"/>
    </dxf>
    <dxf>
      <numFmt numFmtId="165" formatCode="&quot;$&quot;#,##0,,&quot;M&quot;"/>
    </dxf>
    <dxf>
      <numFmt numFmtId="165" formatCode="&quot;$&quot;#,##0,,&quot;M&quot;"/>
    </dxf>
    <dxf>
      <numFmt numFmtId="165" formatCode="&quot;$&quot;#,##0,,&quot;M&quot;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EP" pivot="0" count="0" xr9:uid="{2FD1EF37-4895-884B-9988-A102DD847C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Forecasting.xlsx]Product Revenue&amp;Units!PivotTable1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898267716535409E-2"/>
          <c:y val="7.1428571428571425E-2"/>
          <c:w val="0.75137811023622048"/>
          <c:h val="0.847686304836895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Revenue&amp;Units'!$B$3:$B$4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Revenue&amp;Units'!$A$5:$A$8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Revenue&amp;Units'!$B$5:$B$8</c:f>
              <c:numCache>
                <c:formatCode>"$"#,##0,,"M"</c:formatCode>
                <c:ptCount val="3"/>
                <c:pt idx="0">
                  <c:v>124249630</c:v>
                </c:pt>
                <c:pt idx="1">
                  <c:v>142362810</c:v>
                </c:pt>
                <c:pt idx="2">
                  <c:v>170566630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6-E44A-A7F8-2A4FABD47010}"/>
            </c:ext>
          </c:extLst>
        </c:ser>
        <c:ser>
          <c:idx val="1"/>
          <c:order val="1"/>
          <c:tx>
            <c:strRef>
              <c:f>'Product Revenue&amp;Units'!$C$3:$C$4</c:f>
              <c:strCache>
                <c:ptCount val="1"/>
                <c:pt idx="0">
                  <c:v>Diagnostic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Revenue&amp;Units'!$A$5:$A$8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Revenue&amp;Units'!$C$5:$C$8</c:f>
              <c:numCache>
                <c:formatCode>"$"#,##0,,"M"</c:formatCode>
                <c:ptCount val="3"/>
                <c:pt idx="0">
                  <c:v>275292580</c:v>
                </c:pt>
                <c:pt idx="1">
                  <c:v>352157620</c:v>
                </c:pt>
                <c:pt idx="2">
                  <c:v>414972100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6-E44A-A7F8-2A4FABD47010}"/>
            </c:ext>
          </c:extLst>
        </c:ser>
        <c:ser>
          <c:idx val="2"/>
          <c:order val="2"/>
          <c:tx>
            <c:strRef>
              <c:f>'Product Revenue&amp;Units'!$D$3:$D$4</c:f>
              <c:strCache>
                <c:ptCount val="1"/>
                <c:pt idx="0">
                  <c:v>Therapeutic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Revenue&amp;Units'!$A$5:$A$8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Revenue&amp;Units'!$D$5:$D$8</c:f>
              <c:numCache>
                <c:formatCode>"$"#,##0,,"M"</c:formatCode>
                <c:ptCount val="3"/>
                <c:pt idx="0">
                  <c:v>607917820</c:v>
                </c:pt>
                <c:pt idx="1">
                  <c:v>719228460</c:v>
                </c:pt>
                <c:pt idx="2">
                  <c:v>1164477720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6-E44A-A7F8-2A4FABD47010}"/>
            </c:ext>
          </c:extLst>
        </c:ser>
        <c:ser>
          <c:idx val="3"/>
          <c:order val="3"/>
          <c:tx>
            <c:strRef>
              <c:f>'Product Revenue&amp;Units'!$E$3:$E$4</c:f>
              <c:strCache>
                <c:ptCount val="1"/>
                <c:pt idx="0">
                  <c:v>Ultrasound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Revenue&amp;Units'!$A$5:$A$8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Revenue&amp;Units'!$E$5:$E$8</c:f>
              <c:numCache>
                <c:formatCode>"$"#,##0,,"M"</c:formatCode>
                <c:ptCount val="3"/>
                <c:pt idx="0">
                  <c:v>258605180</c:v>
                </c:pt>
                <c:pt idx="1">
                  <c:v>270254320</c:v>
                </c:pt>
                <c:pt idx="2">
                  <c:v>335486900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6-E44A-A7F8-2A4FABD47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689888"/>
        <c:axId val="283691600"/>
      </c:barChart>
      <c:catAx>
        <c:axId val="2836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91600"/>
        <c:crosses val="autoZero"/>
        <c:auto val="1"/>
        <c:lblAlgn val="ctr"/>
        <c:lblOffset val="100"/>
        <c:noMultiLvlLbl val="0"/>
      </c:catAx>
      <c:valAx>
        <c:axId val="2836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Forecasting.xlsx]Manufacturer Revenue&amp;Units!PivotTable1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1685755189692"/>
          <c:y val="6.0298372937406246E-2"/>
          <c:w val="0.6875384753042233"/>
          <c:h val="0.88376509637326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'Manufacturer Revenue&amp;Units'!$B$3:$B$4</c:f>
              <c:strCache>
                <c:ptCount val="1"/>
                <c:pt idx="0">
                  <c:v>Atria Medical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'Manufacturer Revenue&amp;Units'!$A$5:$A$7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Revenue&amp;Units'!$B$5:$B$7</c:f>
              <c:numCache>
                <c:formatCode>"$"#,##0,,"M"</c:formatCode>
                <c:ptCount val="3"/>
                <c:pt idx="0">
                  <c:v>275097730</c:v>
                </c:pt>
                <c:pt idx="1">
                  <c:v>320338470</c:v>
                </c:pt>
                <c:pt idx="2">
                  <c:v>405316400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E-1E43-BD3A-A80CCE902453}"/>
            </c:ext>
          </c:extLst>
        </c:ser>
        <c:ser>
          <c:idx val="1"/>
          <c:order val="1"/>
          <c:tx>
            <c:strRef>
              <c:f>'Manufacturer Revenue&amp;Units'!$C$3:$C$4</c:f>
              <c:strCache>
                <c:ptCount val="1"/>
                <c:pt idx="0">
                  <c:v>BeneLife Devices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'Manufacturer Revenue&amp;Units'!$A$5:$A$7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Revenue&amp;Units'!$C$5:$C$7</c:f>
              <c:numCache>
                <c:formatCode>"$"#,##0,,"M"</c:formatCode>
                <c:ptCount val="3"/>
                <c:pt idx="0">
                  <c:v>23264980</c:v>
                </c:pt>
                <c:pt idx="1">
                  <c:v>31538190</c:v>
                </c:pt>
                <c:pt idx="2">
                  <c:v>417124630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E-1E43-BD3A-A80CCE902453}"/>
            </c:ext>
          </c:extLst>
        </c:ser>
        <c:ser>
          <c:idx val="2"/>
          <c:order val="2"/>
          <c:tx>
            <c:strRef>
              <c:f>'Manufacturer Revenue&amp;Units'!$D$3:$D$4</c:f>
              <c:strCache>
                <c:ptCount val="1"/>
                <c:pt idx="0">
                  <c:v>JustPulse Medical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'Manufacturer Revenue&amp;Units'!$A$5:$A$7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Revenue&amp;Units'!$D$5:$D$7</c:f>
              <c:numCache>
                <c:formatCode>"$"#,##0,,"M"</c:formatCode>
                <c:ptCount val="3"/>
                <c:pt idx="0">
                  <c:v>816958710</c:v>
                </c:pt>
                <c:pt idx="1">
                  <c:v>974353090</c:v>
                </c:pt>
                <c:pt idx="2">
                  <c:v>1108577840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E-1E43-BD3A-A80CCE902453}"/>
            </c:ext>
          </c:extLst>
        </c:ser>
        <c:ser>
          <c:idx val="3"/>
          <c:order val="3"/>
          <c:tx>
            <c:strRef>
              <c:f>'Manufacturer Revenue&amp;Units'!$E$3:$E$4</c:f>
              <c:strCache>
                <c:ptCount val="1"/>
                <c:pt idx="0">
                  <c:v>MediStream Solutions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'Manufacturer Revenue&amp;Units'!$A$5:$A$7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Revenue&amp;Units'!$E$5:$E$7</c:f>
              <c:numCache>
                <c:formatCode>"$"#,##0,,"M"</c:formatCode>
                <c:ptCount val="3"/>
                <c:pt idx="0">
                  <c:v>150743790</c:v>
                </c:pt>
                <c:pt idx="1">
                  <c:v>157773460</c:v>
                </c:pt>
                <c:pt idx="2">
                  <c:v>154484480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E-1E43-BD3A-A80CCE902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0139407"/>
        <c:axId val="2040487503"/>
      </c:barChart>
      <c:catAx>
        <c:axId val="204013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87503"/>
        <c:crosses val="autoZero"/>
        <c:auto val="1"/>
        <c:lblAlgn val="ctr"/>
        <c:lblOffset val="100"/>
        <c:noMultiLvlLbl val="0"/>
      </c:catAx>
      <c:valAx>
        <c:axId val="204048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13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4663795748712"/>
          <c:y val="0.43960019349204532"/>
          <c:w val="0.20978385519350151"/>
          <c:h val="0.20902120967881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Forecasting.xlsx]Product Revenue&amp;Units!PivotTable2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207241512843679E-2"/>
          <c:y val="8.1081081081081086E-2"/>
          <c:w val="0.74923986704530787"/>
          <c:h val="0.8373051003759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Revenue&amp;Units'!$J$3:$J$4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Revenue&amp;Units'!$I$5:$I$8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Revenue&amp;Units'!$J$5:$J$8</c:f>
              <c:numCache>
                <c:formatCode>#,##0</c:formatCode>
                <c:ptCount val="3"/>
                <c:pt idx="0">
                  <c:v>188200</c:v>
                </c:pt>
                <c:pt idx="1">
                  <c:v>208290</c:v>
                </c:pt>
                <c:pt idx="2">
                  <c:v>238880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E-D842-B134-7FCB0776A694}"/>
            </c:ext>
          </c:extLst>
        </c:ser>
        <c:ser>
          <c:idx val="1"/>
          <c:order val="1"/>
          <c:tx>
            <c:strRef>
              <c:f>'Product Revenue&amp;Units'!$K$3:$K$4</c:f>
              <c:strCache>
                <c:ptCount val="1"/>
                <c:pt idx="0">
                  <c:v>Diagnostic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Revenue&amp;Units'!$I$5:$I$8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Revenue&amp;Units'!$K$5:$K$8</c:f>
              <c:numCache>
                <c:formatCode>#,##0</c:formatCode>
                <c:ptCount val="3"/>
                <c:pt idx="0">
                  <c:v>170170</c:v>
                </c:pt>
                <c:pt idx="1">
                  <c:v>200860</c:v>
                </c:pt>
                <c:pt idx="2">
                  <c:v>222340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E-D842-B134-7FCB0776A694}"/>
            </c:ext>
          </c:extLst>
        </c:ser>
        <c:ser>
          <c:idx val="2"/>
          <c:order val="2"/>
          <c:tx>
            <c:strRef>
              <c:f>'Product Revenue&amp;Units'!$L$3:$L$4</c:f>
              <c:strCache>
                <c:ptCount val="1"/>
                <c:pt idx="0">
                  <c:v>Therapeutic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Revenue&amp;Units'!$I$5:$I$8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Revenue&amp;Units'!$L$5:$L$8</c:f>
              <c:numCache>
                <c:formatCode>#,##0</c:formatCode>
                <c:ptCount val="3"/>
                <c:pt idx="0">
                  <c:v>187010</c:v>
                </c:pt>
                <c:pt idx="1">
                  <c:v>213570</c:v>
                </c:pt>
                <c:pt idx="2">
                  <c:v>253970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BE-D842-B134-7FCB0776A694}"/>
            </c:ext>
          </c:extLst>
        </c:ser>
        <c:ser>
          <c:idx val="3"/>
          <c:order val="3"/>
          <c:tx>
            <c:strRef>
              <c:f>'Product Revenue&amp;Units'!$M$3:$M$4</c:f>
              <c:strCache>
                <c:ptCount val="1"/>
                <c:pt idx="0">
                  <c:v>Ultrasound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Revenue&amp;Units'!$I$5:$I$8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Revenue&amp;Units'!$M$5:$M$8</c:f>
              <c:numCache>
                <c:formatCode>#,##0</c:formatCode>
                <c:ptCount val="3"/>
                <c:pt idx="0">
                  <c:v>105430</c:v>
                </c:pt>
                <c:pt idx="1">
                  <c:v>108030</c:v>
                </c:pt>
                <c:pt idx="2">
                  <c:v>134230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BE-D842-B134-7FCB0776A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760128"/>
        <c:axId val="284761856"/>
      </c:barChart>
      <c:catAx>
        <c:axId val="2847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61856"/>
        <c:crosses val="autoZero"/>
        <c:auto val="1"/>
        <c:lblAlgn val="ctr"/>
        <c:lblOffset val="100"/>
        <c:noMultiLvlLbl val="0"/>
      </c:catAx>
      <c:valAx>
        <c:axId val="2847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Forecasting.xlsx]Manufacturer Revenue&amp;Units!PivotTable3</c:name>
    <c:fmtId val="6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57989994691936"/>
          <c:y val="6.2828078199331783E-2"/>
          <c:w val="0.66180649485461618"/>
          <c:h val="0.89615231991374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'Manufacturer Revenue&amp;Units'!$I$3:$I$4</c:f>
              <c:strCache>
                <c:ptCount val="1"/>
                <c:pt idx="0">
                  <c:v>Atria Medical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'Manufacturer Revenue&amp;Units'!$H$5:$H$7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Revenue&amp;Units'!$I$5:$I$7</c:f>
              <c:numCache>
                <c:formatCode>#,##0</c:formatCode>
                <c:ptCount val="3"/>
                <c:pt idx="0">
                  <c:v>149370</c:v>
                </c:pt>
                <c:pt idx="1">
                  <c:v>164390</c:v>
                </c:pt>
                <c:pt idx="2">
                  <c:v>198120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1-DE46-91CE-359FA06CB9AB}"/>
            </c:ext>
          </c:extLst>
        </c:ser>
        <c:ser>
          <c:idx val="1"/>
          <c:order val="1"/>
          <c:tx>
            <c:strRef>
              <c:f>'Manufacturer Revenue&amp;Units'!$J$3:$J$4</c:f>
              <c:strCache>
                <c:ptCount val="1"/>
                <c:pt idx="0">
                  <c:v>BeneLife Devices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'Manufacturer Revenue&amp;Units'!$H$5:$H$7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Revenue&amp;Units'!$J$5:$J$7</c:f>
              <c:numCache>
                <c:formatCode>#,##0</c:formatCode>
                <c:ptCount val="3"/>
                <c:pt idx="0">
                  <c:v>13020</c:v>
                </c:pt>
                <c:pt idx="1">
                  <c:v>16370</c:v>
                </c:pt>
                <c:pt idx="2">
                  <c:v>62370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1-DE46-91CE-359FA06CB9AB}"/>
            </c:ext>
          </c:extLst>
        </c:ser>
        <c:ser>
          <c:idx val="2"/>
          <c:order val="2"/>
          <c:tx>
            <c:strRef>
              <c:f>'Manufacturer Revenue&amp;Units'!$K$3:$K$4</c:f>
              <c:strCache>
                <c:ptCount val="1"/>
                <c:pt idx="0">
                  <c:v>JustPulse Medical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'Manufacturer Revenue&amp;Units'!$H$5:$H$7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Revenue&amp;Units'!$K$5:$K$7</c:f>
              <c:numCache>
                <c:formatCode>#,##0</c:formatCode>
                <c:ptCount val="3"/>
                <c:pt idx="0">
                  <c:v>429340</c:v>
                </c:pt>
                <c:pt idx="1">
                  <c:v>488130</c:v>
                </c:pt>
                <c:pt idx="2">
                  <c:v>542320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71-DE46-91CE-359FA06CB9AB}"/>
            </c:ext>
          </c:extLst>
        </c:ser>
        <c:ser>
          <c:idx val="3"/>
          <c:order val="3"/>
          <c:tx>
            <c:strRef>
              <c:f>'Manufacturer Revenue&amp;Units'!$L$3:$L$4</c:f>
              <c:strCache>
                <c:ptCount val="1"/>
                <c:pt idx="0">
                  <c:v>MediStream Solutions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'Manufacturer Revenue&amp;Units'!$H$5:$H$7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Revenue&amp;Units'!$L$5:$L$7</c:f>
              <c:numCache>
                <c:formatCode>#,##0</c:formatCode>
                <c:ptCount val="3"/>
                <c:pt idx="0">
                  <c:v>59080</c:v>
                </c:pt>
                <c:pt idx="1">
                  <c:v>61860</c:v>
                </c:pt>
                <c:pt idx="2">
                  <c:v>46610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71-DE46-91CE-359FA06CB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65623072"/>
        <c:axId val="2014957935"/>
      </c:barChart>
      <c:catAx>
        <c:axId val="8656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957935"/>
        <c:crosses val="autoZero"/>
        <c:auto val="1"/>
        <c:lblAlgn val="ctr"/>
        <c:lblOffset val="100"/>
        <c:noMultiLvlLbl val="0"/>
      </c:catAx>
      <c:valAx>
        <c:axId val="20149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6867672149954946"/>
          <c:y val="0.44406033840075215"/>
          <c:w val="0.21173932171240648"/>
          <c:h val="0.205082824629100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0"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'Units Growth', 'Revenue Growth' by 'Comparison'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'Growth trend'!$B$10</c:f>
              <c:strCache>
                <c:ptCount val="1"/>
                <c:pt idx="0">
                  <c:v>Units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'Growth trend'!$A$11:$A$14</c:f>
              <c:strCache>
                <c:ptCount val="4"/>
                <c:pt idx="0">
                  <c:v>Market 2023 vs 2022</c:v>
                </c:pt>
                <c:pt idx="1">
                  <c:v>Market 2024 vs 2023</c:v>
                </c:pt>
                <c:pt idx="2">
                  <c:v>JustPulse 2023 vs 2022</c:v>
                </c:pt>
                <c:pt idx="3">
                  <c:v>JustPulse 2024 vs 2023</c:v>
                </c:pt>
              </c:strCache>
            </c:strRef>
          </c:cat>
          <c:val>
            <c:numRef>
              <c:f>'Growth trend'!$B$11:$B$14</c:f>
              <c:numCache>
                <c:formatCode>0.0%</c:formatCode>
                <c:ptCount val="4"/>
                <c:pt idx="0">
                  <c:v>0.12283154837817489</c:v>
                </c:pt>
                <c:pt idx="1">
                  <c:v>0.1623947998631543</c:v>
                </c:pt>
                <c:pt idx="2">
                  <c:v>0.13693110355429264</c:v>
                </c:pt>
                <c:pt idx="3">
                  <c:v>0.11101550816380883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2-A54B-A30A-7913CD22C033}"/>
            </c:ext>
          </c:extLst>
        </c:ser>
        <c:ser>
          <c:idx val="1"/>
          <c:order val="1"/>
          <c:tx>
            <c:strRef>
              <c:f>'Growth trend'!$C$10</c:f>
              <c:strCache>
                <c:ptCount val="1"/>
                <c:pt idx="0">
                  <c:v>Revenue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'Growth trend'!$A$11:$A$14</c:f>
              <c:strCache>
                <c:ptCount val="4"/>
                <c:pt idx="0">
                  <c:v>Market 2023 vs 2022</c:v>
                </c:pt>
                <c:pt idx="1">
                  <c:v>Market 2024 vs 2023</c:v>
                </c:pt>
                <c:pt idx="2">
                  <c:v>JustPulse 2023 vs 2022</c:v>
                </c:pt>
                <c:pt idx="3">
                  <c:v>JustPulse 2024 vs 2023</c:v>
                </c:pt>
              </c:strCache>
            </c:strRef>
          </c:cat>
          <c:val>
            <c:numRef>
              <c:f>'Growth trend'!$C$11:$C$14</c:f>
              <c:numCache>
                <c:formatCode>0.0%</c:formatCode>
                <c:ptCount val="4"/>
                <c:pt idx="0">
                  <c:v>0.17213805282588882</c:v>
                </c:pt>
                <c:pt idx="1">
                  <c:v>0.40532266773196535</c:v>
                </c:pt>
                <c:pt idx="2">
                  <c:v>0.19265891662994816</c:v>
                </c:pt>
                <c:pt idx="3">
                  <c:v>0.13769999999999999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2-A54B-A30A-7913CD22C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2046031359"/>
        <c:axId val="691799152"/>
      </c:barChart>
      <c:catAx>
        <c:axId val="2046031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99152"/>
        <c:crosses val="autoZero"/>
        <c:auto val="1"/>
        <c:lblAlgn val="ctr"/>
        <c:lblOffset val="100"/>
        <c:noMultiLvlLbl val="0"/>
      </c:catAx>
      <c:valAx>
        <c:axId val="69179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 (Units)'</a:t>
            </a:r>
            <a:br>
              <a:rPr lang="en-US"/>
            </a:br>
            <a:r>
              <a:rPr lang="en-US"/>
              <a:t>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'Future Scope'!$E$3</c:f>
              <c:strCache>
                <c:ptCount val="1"/>
                <c:pt idx="0">
                  <c:v>2024 Market Share (Units)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A2-2047-8AF3-3DB9FF2BDA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A2-2047-8AF3-3DB9FF2BDA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A2-2047-8AF3-3DB9FF2BDA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A2-2047-8AF3-3DB9FF2BDA53}"/>
              </c:ext>
            </c:extLst>
          </c:dPt>
          <c:cat>
            <c:strRef>
              <c:f>'Future Scope'!$A$4:$A$7</c:f>
              <c:strCache>
                <c:ptCount val="4"/>
                <c:pt idx="0">
                  <c:v>Atria Medical</c:v>
                </c:pt>
                <c:pt idx="1">
                  <c:v>BeneLife Devices</c:v>
                </c:pt>
                <c:pt idx="2">
                  <c:v>JustPulse Medical</c:v>
                </c:pt>
                <c:pt idx="3">
                  <c:v>MediStream Solutions</c:v>
                </c:pt>
              </c:strCache>
            </c:strRef>
          </c:cat>
          <c:val>
            <c:numRef>
              <c:f>'Future Scope'!$E$4:$E$7</c:f>
              <c:numCache>
                <c:formatCode>0.0%</c:formatCode>
                <c:ptCount val="4"/>
                <c:pt idx="0">
                  <c:v>0.23324150596877868</c:v>
                </c:pt>
                <c:pt idx="1">
                  <c:v>7.3426573426573424E-2</c:v>
                </c:pt>
                <c:pt idx="2">
                  <c:v>0.63845918391372936</c:v>
                </c:pt>
                <c:pt idx="3">
                  <c:v>5.4872736690918508E-2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A2-2047-8AF3-3DB9FF2BD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Share(Revenue)'</a:t>
            </a:r>
          </a:p>
          <a:p>
            <a:pPr>
              <a:defRPr/>
            </a:pPr>
            <a:r>
              <a:rPr lang="en-US"/>
              <a:t>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'Future Scope'!$I$3</c:f>
              <c:strCache>
                <c:ptCount val="1"/>
                <c:pt idx="0">
                  <c:v>2024 Market Share(Revenue)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10-FF4C-B9EE-7DAC8D124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10-FF4C-B9EE-7DAC8D124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10-FF4C-B9EE-7DAC8D1245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10-FF4C-B9EE-7DAC8D124597}"/>
              </c:ext>
            </c:extLst>
          </c:dPt>
          <c:cat>
            <c:strRef>
              <c:f>'Future Scope'!$A$4:$A$7</c:f>
              <c:strCache>
                <c:ptCount val="4"/>
                <c:pt idx="0">
                  <c:v>Atria Medical</c:v>
                </c:pt>
                <c:pt idx="1">
                  <c:v>BeneLife Devices</c:v>
                </c:pt>
                <c:pt idx="2">
                  <c:v>JustPulse Medical</c:v>
                </c:pt>
                <c:pt idx="3">
                  <c:v>MediStream Solutions</c:v>
                </c:pt>
              </c:strCache>
            </c:strRef>
          </c:cat>
          <c:val>
            <c:numRef>
              <c:f>'Future Scope'!$I$4:$I$7</c:f>
              <c:numCache>
                <c:formatCode>0.0%</c:formatCode>
                <c:ptCount val="4"/>
                <c:pt idx="0">
                  <c:v>0.19434943607259131</c:v>
                </c:pt>
                <c:pt idx="1">
                  <c:v>0.20001148883313949</c:v>
                </c:pt>
                <c:pt idx="2">
                  <c:v>0.53156368221609429</c:v>
                </c:pt>
                <c:pt idx="3">
                  <c:v>7.4075392878174953E-2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10-FF4C-B9EE-7DAC8D12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 (Units)'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118503937007876"/>
          <c:y val="0.22891999611159716"/>
          <c:w val="0.57534612860892387"/>
          <c:h val="0.596659167604049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'2024 market share by Product'!$E$3</c:f>
              <c:strCache>
                <c:ptCount val="1"/>
                <c:pt idx="0">
                  <c:v>2024 Market Share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4C-1843-9B40-B2A6F59F820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4C-1843-9B40-B2A6F59F820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4C-1843-9B40-B2A6F59F820A}"/>
              </c:ext>
            </c:extLst>
          </c:dPt>
          <c:cat>
            <c:strRef>
              <c:f>'2024 market share by Product'!$A$4:$A$7</c:f>
              <c:strCache>
                <c:ptCount val="4"/>
                <c:pt idx="0">
                  <c:v>Accessories</c:v>
                </c:pt>
                <c:pt idx="1">
                  <c:v>Diagnostic</c:v>
                </c:pt>
                <c:pt idx="2">
                  <c:v>Therapeutic</c:v>
                </c:pt>
                <c:pt idx="3">
                  <c:v>Ultrasound</c:v>
                </c:pt>
              </c:strCache>
            </c:strRef>
          </c:cat>
          <c:val>
            <c:numRef>
              <c:f>'2024 market share by Product'!$E$4:$E$7</c:f>
              <c:numCache>
                <c:formatCode>0.0%</c:formatCode>
                <c:ptCount val="4"/>
                <c:pt idx="0">
                  <c:v>0.2812271903180994</c:v>
                </c:pt>
                <c:pt idx="1">
                  <c:v>0.26175507993689812</c:v>
                </c:pt>
                <c:pt idx="2">
                  <c:v>0.29899225353770809</c:v>
                </c:pt>
                <c:pt idx="3">
                  <c:v>0.1580254762072944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4C-1843-9B40-B2A6F59F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26086304"/>
        <c:axId val="1526293120"/>
      </c:barChart>
      <c:catAx>
        <c:axId val="42608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93120"/>
        <c:crosses val="autoZero"/>
        <c:auto val="1"/>
        <c:lblAlgn val="ctr"/>
        <c:lblOffset val="100"/>
        <c:noMultiLvlLbl val="0"/>
      </c:catAx>
      <c:valAx>
        <c:axId val="152629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Share(Revenue)'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707310644746811"/>
          <c:y val="0.20798813914083525"/>
          <c:w val="0.59734359041939844"/>
          <c:h val="0.635744543008073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'2024 market share by Product'!$I$3</c:f>
              <c:strCache>
                <c:ptCount val="1"/>
                <c:pt idx="0">
                  <c:v>2024 Market Share(Revenue)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A-D44E-872B-82E3507680F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6A-D44E-872B-82E3507680F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6A-D44E-872B-82E3507680F1}"/>
              </c:ext>
            </c:extLst>
          </c:dPt>
          <c:cat>
            <c:strRef>
              <c:f>'2024 market share by Product'!$A$4:$A$7</c:f>
              <c:strCache>
                <c:ptCount val="4"/>
                <c:pt idx="0">
                  <c:v>Accessories</c:v>
                </c:pt>
                <c:pt idx="1">
                  <c:v>Diagnostic</c:v>
                </c:pt>
                <c:pt idx="2">
                  <c:v>Therapeutic</c:v>
                </c:pt>
                <c:pt idx="3">
                  <c:v>Ultrasound</c:v>
                </c:pt>
              </c:strCache>
            </c:strRef>
          </c:cat>
          <c:val>
            <c:numRef>
              <c:f>'2024 market share by Product'!$I$4:$I$7</c:f>
              <c:numCache>
                <c:formatCode>0.0%</c:formatCode>
                <c:ptCount val="4"/>
                <c:pt idx="0">
                  <c:v>8.1786792622510054E-2</c:v>
                </c:pt>
                <c:pt idx="1">
                  <c:v>0.19897934951770757</c:v>
                </c:pt>
                <c:pt idx="2">
                  <c:v>0.5583677053311854</c:v>
                </c:pt>
                <c:pt idx="3">
                  <c:v>0.16086615252859698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6A-D44E-872B-82E35076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86249808"/>
        <c:axId val="413765376"/>
      </c:barChart>
      <c:catAx>
        <c:axId val="98624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layout>
            <c:manualLayout>
              <c:xMode val="edge"/>
              <c:yMode val="edge"/>
              <c:x val="2.9288702928870293E-2"/>
              <c:y val="0.26699940197348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65376"/>
        <c:crosses val="autoZero"/>
        <c:auto val="1"/>
        <c:lblAlgn val="ctr"/>
        <c:lblOffset val="100"/>
        <c:noMultiLvlLbl val="0"/>
      </c:catAx>
      <c:valAx>
        <c:axId val="41376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4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'JustPulse Medical 2024 Market Share (Units)'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10735548300362"/>
          <c:y val="0.32403726708074532"/>
          <c:w val="0.58570354010626724"/>
          <c:h val="0.481439330953196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'2024 market share by Product'!$Q$3</c:f>
              <c:strCache>
                <c:ptCount val="1"/>
                <c:pt idx="0">
                  <c:v>2024 Market Share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9-EE45-BB3B-2DFF666422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9-EE45-BB3B-2DFF666422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9-EE45-BB3B-2DFF66642270}"/>
              </c:ext>
            </c:extLst>
          </c:dPt>
          <c:cat>
            <c:strRef>
              <c:f>'2024 market share by Product'!$M$4:$M$7</c:f>
              <c:strCache>
                <c:ptCount val="4"/>
                <c:pt idx="0">
                  <c:v>Accessories</c:v>
                </c:pt>
                <c:pt idx="1">
                  <c:v>Diagnostic</c:v>
                </c:pt>
                <c:pt idx="2">
                  <c:v>Therapeutic</c:v>
                </c:pt>
                <c:pt idx="3">
                  <c:v>Ultrasound</c:v>
                </c:pt>
              </c:strCache>
            </c:strRef>
          </c:cat>
          <c:val>
            <c:numRef>
              <c:f>'2024 market share by Product'!$Q$4:$Q$7</c:f>
              <c:numCache>
                <c:formatCode>0.0%</c:formatCode>
                <c:ptCount val="4"/>
                <c:pt idx="0">
                  <c:v>0.1825245461609098</c:v>
                </c:pt>
                <c:pt idx="1">
                  <c:v>0.1889524616797344</c:v>
                </c:pt>
                <c:pt idx="2">
                  <c:v>0.15032610487155942</c:v>
                </c:pt>
                <c:pt idx="3">
                  <c:v>0.11665607120152574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C9-EE45-BB3B-2DFF66642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26086304"/>
        <c:axId val="1526293120"/>
      </c:barChart>
      <c:catAx>
        <c:axId val="42608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93120"/>
        <c:crosses val="autoZero"/>
        <c:auto val="1"/>
        <c:lblAlgn val="ctr"/>
        <c:lblOffset val="100"/>
        <c:noMultiLvlLbl val="0"/>
      </c:catAx>
      <c:valAx>
        <c:axId val="152629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'JustPulse Medical 2024 Market Share(Revenue)'</a:t>
            </a:r>
          </a:p>
        </c:rich>
      </c:tx>
      <c:layout>
        <c:manualLayout>
          <c:xMode val="edge"/>
          <c:yMode val="edge"/>
          <c:x val="0.13562749100806845"/>
          <c:y val="2.5000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76970934188782"/>
          <c:y val="0.27670093786047445"/>
          <c:w val="0.59931142866400955"/>
          <c:h val="0.548683986157781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'2024 market share by Product'!$U$3</c:f>
              <c:strCache>
                <c:ptCount val="1"/>
                <c:pt idx="0">
                  <c:v>2024 Market Share(Revenue)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9E-7749-97D8-9A75839A1EA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9E-7749-97D8-9A75839A1EA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9E-7749-97D8-9A75839A1EA1}"/>
              </c:ext>
            </c:extLst>
          </c:dPt>
          <c:cat>
            <c:strRef>
              <c:f>'2024 market share by Product'!$M$4:$M$7</c:f>
              <c:strCache>
                <c:ptCount val="4"/>
                <c:pt idx="0">
                  <c:v>Accessories</c:v>
                </c:pt>
                <c:pt idx="1">
                  <c:v>Diagnostic</c:v>
                </c:pt>
                <c:pt idx="2">
                  <c:v>Therapeutic</c:v>
                </c:pt>
                <c:pt idx="3">
                  <c:v>Ultrasound</c:v>
                </c:pt>
              </c:strCache>
            </c:strRef>
          </c:cat>
          <c:val>
            <c:numRef>
              <c:f>'2024 market share by Product'!$U$4:$U$7</c:f>
              <c:numCache>
                <c:formatCode>0.0%</c:formatCode>
                <c:ptCount val="4"/>
                <c:pt idx="0">
                  <c:v>3.6094106489927238E-2</c:v>
                </c:pt>
                <c:pt idx="1">
                  <c:v>0.14707061487098547</c:v>
                </c:pt>
                <c:pt idx="2">
                  <c:v>0.22164164349100662</c:v>
                </c:pt>
                <c:pt idx="3">
                  <c:v>0.12675731736417495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9E-7749-97D8-9A75839A1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86249808"/>
        <c:axId val="413765376"/>
      </c:barChart>
      <c:catAx>
        <c:axId val="98624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65376"/>
        <c:crosses val="autoZero"/>
        <c:auto val="1"/>
        <c:lblAlgn val="ctr"/>
        <c:lblOffset val="100"/>
        <c:noMultiLvlLbl val="0"/>
      </c:catAx>
      <c:valAx>
        <c:axId val="41376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4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  <a:r>
              <a:rPr lang="en-US" baseline="0"/>
              <a:t> of Market (Revenue)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'!$C$37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'!$A$38:$A$43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'Forecast '!$C$38:$C$43</c:f>
              <c:numCache>
                <c:formatCode>"$"#,##0,,"M"</c:formatCode>
                <c:ptCount val="6"/>
                <c:pt idx="0">
                  <c:v>1266065210</c:v>
                </c:pt>
                <c:pt idx="1">
                  <c:v>1484003210</c:v>
                </c:pt>
                <c:pt idx="2">
                  <c:v>2085503350</c:v>
                </c:pt>
                <c:pt idx="3">
                  <c:v>2676629746.6999998</c:v>
                </c:pt>
                <c:pt idx="4">
                  <c:v>3435308219.9099998</c:v>
                </c:pt>
                <c:pt idx="5">
                  <c:v>4409030640.25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3-774E-8E30-4636C8CAF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649200"/>
        <c:axId val="543650912"/>
      </c:lineChart>
      <c:catAx>
        <c:axId val="5436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50912"/>
        <c:crosses val="autoZero"/>
        <c:auto val="1"/>
        <c:lblAlgn val="ctr"/>
        <c:lblOffset val="100"/>
        <c:noMultiLvlLbl val="0"/>
      </c:catAx>
      <c:valAx>
        <c:axId val="5436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4920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  <a:r>
              <a:rPr lang="en-US" baseline="0"/>
              <a:t> of JustPulse Medical (Revenue)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'!$A$29</c:f>
              <c:strCache>
                <c:ptCount val="1"/>
                <c:pt idx="0">
                  <c:v>JustPulse Medical Market by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'!$A$30:$A$35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'Forecast '!$C$30:$C$35</c:f>
              <c:numCache>
                <c:formatCode>"$"#,##0,,"M"</c:formatCode>
                <c:ptCount val="6"/>
                <c:pt idx="0">
                  <c:v>816958710</c:v>
                </c:pt>
                <c:pt idx="1">
                  <c:v>974353090</c:v>
                </c:pt>
                <c:pt idx="2">
                  <c:v>1108577840</c:v>
                </c:pt>
                <c:pt idx="3">
                  <c:v>1422799164.0799999</c:v>
                </c:pt>
                <c:pt idx="4">
                  <c:v>1826085086.9300001</c:v>
                </c:pt>
                <c:pt idx="5">
                  <c:v>2343680562.1399999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8-E346-9278-C4EF4A9B6E6E}"/>
            </c:ext>
          </c:extLst>
        </c:ser>
        <c:ser>
          <c:idx val="2"/>
          <c:order val="1"/>
          <c:tx>
            <c:strRef>
              <c:f>'Forecast '!$C$29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 '!$A$30:$A$35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'Forecast '!$C$30:$C$35</c:f>
              <c:numCache>
                <c:formatCode>"$"#,##0,,"M"</c:formatCode>
                <c:ptCount val="6"/>
                <c:pt idx="0">
                  <c:v>816958710</c:v>
                </c:pt>
                <c:pt idx="1">
                  <c:v>974353090</c:v>
                </c:pt>
                <c:pt idx="2">
                  <c:v>1108577840</c:v>
                </c:pt>
                <c:pt idx="3">
                  <c:v>1422799164.0799999</c:v>
                </c:pt>
                <c:pt idx="4">
                  <c:v>1826085086.9300001</c:v>
                </c:pt>
                <c:pt idx="5">
                  <c:v>2343680562.1399999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8-E346-9278-C4EF4A9B6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649200"/>
        <c:axId val="543650912"/>
      </c:lineChart>
      <c:catAx>
        <c:axId val="5436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50912"/>
        <c:crosses val="autoZero"/>
        <c:auto val="1"/>
        <c:lblAlgn val="ctr"/>
        <c:lblOffset val="100"/>
        <c:noMultiLvlLbl val="0"/>
      </c:catAx>
      <c:valAx>
        <c:axId val="5436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4920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Forecasting.xlsx]Product Revenue&amp;Units!PivotTable1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898267716535409E-2"/>
          <c:y val="7.1428571428571425E-2"/>
          <c:w val="0.75137811023622048"/>
          <c:h val="0.847686304836895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Revenue&amp;Units'!$B$3:$B$4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Revenue&amp;Units'!$A$5:$A$8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Revenue&amp;Units'!$B$5:$B$8</c:f>
              <c:numCache>
                <c:formatCode>"$"#,##0,,"M"</c:formatCode>
                <c:ptCount val="3"/>
                <c:pt idx="0">
                  <c:v>124249630</c:v>
                </c:pt>
                <c:pt idx="1">
                  <c:v>142362810</c:v>
                </c:pt>
                <c:pt idx="2">
                  <c:v>170566630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2-5641-BE11-67C5833CE4BD}"/>
            </c:ext>
          </c:extLst>
        </c:ser>
        <c:ser>
          <c:idx val="1"/>
          <c:order val="1"/>
          <c:tx>
            <c:strRef>
              <c:f>'Product Revenue&amp;Units'!$C$3:$C$4</c:f>
              <c:strCache>
                <c:ptCount val="1"/>
                <c:pt idx="0">
                  <c:v>Diagnostic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Revenue&amp;Units'!$A$5:$A$8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Revenue&amp;Units'!$C$5:$C$8</c:f>
              <c:numCache>
                <c:formatCode>"$"#,##0,,"M"</c:formatCode>
                <c:ptCount val="3"/>
                <c:pt idx="0">
                  <c:v>275292580</c:v>
                </c:pt>
                <c:pt idx="1">
                  <c:v>352157620</c:v>
                </c:pt>
                <c:pt idx="2">
                  <c:v>414972100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2-5641-BE11-67C5833CE4BD}"/>
            </c:ext>
          </c:extLst>
        </c:ser>
        <c:ser>
          <c:idx val="2"/>
          <c:order val="2"/>
          <c:tx>
            <c:strRef>
              <c:f>'Product Revenue&amp;Units'!$D$3:$D$4</c:f>
              <c:strCache>
                <c:ptCount val="1"/>
                <c:pt idx="0">
                  <c:v>Therapeutic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Revenue&amp;Units'!$A$5:$A$8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Revenue&amp;Units'!$D$5:$D$8</c:f>
              <c:numCache>
                <c:formatCode>"$"#,##0,,"M"</c:formatCode>
                <c:ptCount val="3"/>
                <c:pt idx="0">
                  <c:v>607917820</c:v>
                </c:pt>
                <c:pt idx="1">
                  <c:v>719228460</c:v>
                </c:pt>
                <c:pt idx="2">
                  <c:v>1164477720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2-5641-BE11-67C5833CE4BD}"/>
            </c:ext>
          </c:extLst>
        </c:ser>
        <c:ser>
          <c:idx val="3"/>
          <c:order val="3"/>
          <c:tx>
            <c:strRef>
              <c:f>'Product Revenue&amp;Units'!$E$3:$E$4</c:f>
              <c:strCache>
                <c:ptCount val="1"/>
                <c:pt idx="0">
                  <c:v>Ultrasound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Revenue&amp;Units'!$A$5:$A$8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Revenue&amp;Units'!$E$5:$E$8</c:f>
              <c:numCache>
                <c:formatCode>"$"#,##0,,"M"</c:formatCode>
                <c:ptCount val="3"/>
                <c:pt idx="0">
                  <c:v>258605180</c:v>
                </c:pt>
                <c:pt idx="1">
                  <c:v>270254320</c:v>
                </c:pt>
                <c:pt idx="2">
                  <c:v>335486900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2-5641-BE11-67C5833C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689888"/>
        <c:axId val="283691600"/>
      </c:barChart>
      <c:catAx>
        <c:axId val="2836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91600"/>
        <c:crosses val="autoZero"/>
        <c:auto val="1"/>
        <c:lblAlgn val="ctr"/>
        <c:lblOffset val="100"/>
        <c:noMultiLvlLbl val="0"/>
      </c:catAx>
      <c:valAx>
        <c:axId val="2836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Forecasting.xlsx]Product Revenue&amp;Units!PivotTable2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207241512843679E-2"/>
          <c:y val="8.1081081081081086E-2"/>
          <c:w val="0.74923986704530787"/>
          <c:h val="0.8373051003759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Revenue&amp;Units'!$J$3:$J$4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Revenue&amp;Units'!$I$5:$I$8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Revenue&amp;Units'!$J$5:$J$8</c:f>
              <c:numCache>
                <c:formatCode>#,##0</c:formatCode>
                <c:ptCount val="3"/>
                <c:pt idx="0">
                  <c:v>188200</c:v>
                </c:pt>
                <c:pt idx="1">
                  <c:v>208290</c:v>
                </c:pt>
                <c:pt idx="2">
                  <c:v>238880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F-6C4A-AF21-9366E7968F8B}"/>
            </c:ext>
          </c:extLst>
        </c:ser>
        <c:ser>
          <c:idx val="1"/>
          <c:order val="1"/>
          <c:tx>
            <c:strRef>
              <c:f>'Product Revenue&amp;Units'!$K$3:$K$4</c:f>
              <c:strCache>
                <c:ptCount val="1"/>
                <c:pt idx="0">
                  <c:v>Diagnostic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Revenue&amp;Units'!$I$5:$I$8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Revenue&amp;Units'!$K$5:$K$8</c:f>
              <c:numCache>
                <c:formatCode>#,##0</c:formatCode>
                <c:ptCount val="3"/>
                <c:pt idx="0">
                  <c:v>170170</c:v>
                </c:pt>
                <c:pt idx="1">
                  <c:v>200860</c:v>
                </c:pt>
                <c:pt idx="2">
                  <c:v>222340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1F-6C4A-AF21-9366E7968F8B}"/>
            </c:ext>
          </c:extLst>
        </c:ser>
        <c:ser>
          <c:idx val="2"/>
          <c:order val="2"/>
          <c:tx>
            <c:strRef>
              <c:f>'Product Revenue&amp;Units'!$L$3:$L$4</c:f>
              <c:strCache>
                <c:ptCount val="1"/>
                <c:pt idx="0">
                  <c:v>Therapeutic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Revenue&amp;Units'!$I$5:$I$8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Revenue&amp;Units'!$L$5:$L$8</c:f>
              <c:numCache>
                <c:formatCode>#,##0</c:formatCode>
                <c:ptCount val="3"/>
                <c:pt idx="0">
                  <c:v>187010</c:v>
                </c:pt>
                <c:pt idx="1">
                  <c:v>213570</c:v>
                </c:pt>
                <c:pt idx="2">
                  <c:v>253970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1F-6C4A-AF21-9366E7968F8B}"/>
            </c:ext>
          </c:extLst>
        </c:ser>
        <c:ser>
          <c:idx val="3"/>
          <c:order val="3"/>
          <c:tx>
            <c:strRef>
              <c:f>'Product Revenue&amp;Units'!$M$3:$M$4</c:f>
              <c:strCache>
                <c:ptCount val="1"/>
                <c:pt idx="0">
                  <c:v>Ultrasound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Revenue&amp;Units'!$I$5:$I$8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'Product Revenue&amp;Units'!$M$5:$M$8</c:f>
              <c:numCache>
                <c:formatCode>#,##0</c:formatCode>
                <c:ptCount val="3"/>
                <c:pt idx="0">
                  <c:v>105430</c:v>
                </c:pt>
                <c:pt idx="1">
                  <c:v>108030</c:v>
                </c:pt>
                <c:pt idx="2">
                  <c:v>134230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1F-6C4A-AF21-9366E7968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760128"/>
        <c:axId val="284761856"/>
      </c:barChart>
      <c:catAx>
        <c:axId val="2847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61856"/>
        <c:crosses val="autoZero"/>
        <c:auto val="1"/>
        <c:lblAlgn val="ctr"/>
        <c:lblOffset val="100"/>
        <c:noMultiLvlLbl val="0"/>
      </c:catAx>
      <c:valAx>
        <c:axId val="2847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Forecasting.xlsx]Manufacturer Revenue&amp;Units!PivotTable1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210985747794751E-2"/>
          <c:y val="6.0298372937406246E-2"/>
          <c:w val="0.69890221777729122"/>
          <c:h val="0.88376509637326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'Manufacturer Revenue&amp;Units'!$B$3:$B$4</c:f>
              <c:strCache>
                <c:ptCount val="1"/>
                <c:pt idx="0">
                  <c:v>Atria Medical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'Manufacturer Revenue&amp;Units'!$A$5:$A$7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Revenue&amp;Units'!$B$5:$B$7</c:f>
              <c:numCache>
                <c:formatCode>"$"#,##0,,"M"</c:formatCode>
                <c:ptCount val="3"/>
                <c:pt idx="0">
                  <c:v>275097730</c:v>
                </c:pt>
                <c:pt idx="1">
                  <c:v>320338470</c:v>
                </c:pt>
                <c:pt idx="2">
                  <c:v>405316400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05B-CF42-A848-EE6B9F45BC62}"/>
            </c:ext>
          </c:extLst>
        </c:ser>
        <c:ser>
          <c:idx val="1"/>
          <c:order val="1"/>
          <c:tx>
            <c:strRef>
              <c:f>'Manufacturer Revenue&amp;Units'!$C$3:$C$4</c:f>
              <c:strCache>
                <c:ptCount val="1"/>
                <c:pt idx="0">
                  <c:v>BeneLife Devices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'Manufacturer Revenue&amp;Units'!$A$5:$A$7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Revenue&amp;Units'!$C$5:$C$7</c:f>
              <c:numCache>
                <c:formatCode>"$"#,##0,,"M"</c:formatCode>
                <c:ptCount val="3"/>
                <c:pt idx="0">
                  <c:v>23264980</c:v>
                </c:pt>
                <c:pt idx="1">
                  <c:v>31538190</c:v>
                </c:pt>
                <c:pt idx="2">
                  <c:v>417124630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05B-CF42-A848-EE6B9F45BC62}"/>
            </c:ext>
          </c:extLst>
        </c:ser>
        <c:ser>
          <c:idx val="2"/>
          <c:order val="2"/>
          <c:tx>
            <c:strRef>
              <c:f>'Manufacturer Revenue&amp;Units'!$D$3:$D$4</c:f>
              <c:strCache>
                <c:ptCount val="1"/>
                <c:pt idx="0">
                  <c:v>JustPulse Medical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'Manufacturer Revenue&amp;Units'!$A$5:$A$7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Revenue&amp;Units'!$D$5:$D$7</c:f>
              <c:numCache>
                <c:formatCode>"$"#,##0,,"M"</c:formatCode>
                <c:ptCount val="3"/>
                <c:pt idx="0">
                  <c:v>816958710</c:v>
                </c:pt>
                <c:pt idx="1">
                  <c:v>974353090</c:v>
                </c:pt>
                <c:pt idx="2">
                  <c:v>1108577840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05B-CF42-A848-EE6B9F45BC62}"/>
            </c:ext>
          </c:extLst>
        </c:ser>
        <c:ser>
          <c:idx val="3"/>
          <c:order val="3"/>
          <c:tx>
            <c:strRef>
              <c:f>'Manufacturer Revenue&amp;Units'!$E$3:$E$4</c:f>
              <c:strCache>
                <c:ptCount val="1"/>
                <c:pt idx="0">
                  <c:v>MediStream Solutions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'Manufacturer Revenue&amp;Units'!$A$5:$A$7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Revenue&amp;Units'!$E$5:$E$7</c:f>
              <c:numCache>
                <c:formatCode>"$"#,##0,,"M"</c:formatCode>
                <c:ptCount val="3"/>
                <c:pt idx="0">
                  <c:v>150743790</c:v>
                </c:pt>
                <c:pt idx="1">
                  <c:v>157773460</c:v>
                </c:pt>
                <c:pt idx="2">
                  <c:v>154484480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05B-CF42-A848-EE6B9F45B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0139407"/>
        <c:axId val="2040487503"/>
      </c:barChart>
      <c:catAx>
        <c:axId val="204013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87503"/>
        <c:crosses val="autoZero"/>
        <c:auto val="1"/>
        <c:lblAlgn val="ctr"/>
        <c:lblOffset val="100"/>
        <c:noMultiLvlLbl val="0"/>
      </c:catAx>
      <c:valAx>
        <c:axId val="204048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13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4663795748712"/>
          <c:y val="0.41585553673465764"/>
          <c:w val="0.20978385519350151"/>
          <c:h val="0.23276573276573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Forecasting.xlsx]Manufacturer Revenue&amp;Units!PivotTable3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8943222630652477E-2"/>
          <c:y val="6.2828078199331783E-2"/>
          <c:w val="0.66989284848349984"/>
          <c:h val="0.89615231991374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'Manufacturer Revenue&amp;Units'!$I$3:$I$4</c:f>
              <c:strCache>
                <c:ptCount val="1"/>
                <c:pt idx="0">
                  <c:v>Atria Medical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'Manufacturer Revenue&amp;Units'!$H$5:$H$7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Revenue&amp;Units'!$I$5:$I$7</c:f>
              <c:numCache>
                <c:formatCode>#,##0</c:formatCode>
                <c:ptCount val="3"/>
                <c:pt idx="0">
                  <c:v>149370</c:v>
                </c:pt>
                <c:pt idx="1">
                  <c:v>164390</c:v>
                </c:pt>
                <c:pt idx="2">
                  <c:v>198120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C-2945-8B78-351A02158A2B}"/>
            </c:ext>
          </c:extLst>
        </c:ser>
        <c:ser>
          <c:idx val="1"/>
          <c:order val="1"/>
          <c:tx>
            <c:strRef>
              <c:f>'Manufacturer Revenue&amp;Units'!$J$3:$J$4</c:f>
              <c:strCache>
                <c:ptCount val="1"/>
                <c:pt idx="0">
                  <c:v>BeneLife Devices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'Manufacturer Revenue&amp;Units'!$H$5:$H$7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Revenue&amp;Units'!$J$5:$J$7</c:f>
              <c:numCache>
                <c:formatCode>#,##0</c:formatCode>
                <c:ptCount val="3"/>
                <c:pt idx="0">
                  <c:v>13020</c:v>
                </c:pt>
                <c:pt idx="1">
                  <c:v>16370</c:v>
                </c:pt>
                <c:pt idx="2">
                  <c:v>62370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C-2945-8B78-351A02158A2B}"/>
            </c:ext>
          </c:extLst>
        </c:ser>
        <c:ser>
          <c:idx val="2"/>
          <c:order val="2"/>
          <c:tx>
            <c:strRef>
              <c:f>'Manufacturer Revenue&amp;Units'!$K$3:$K$4</c:f>
              <c:strCache>
                <c:ptCount val="1"/>
                <c:pt idx="0">
                  <c:v>JustPulse Medical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'Manufacturer Revenue&amp;Units'!$H$5:$H$7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Revenue&amp;Units'!$K$5:$K$7</c:f>
              <c:numCache>
                <c:formatCode>#,##0</c:formatCode>
                <c:ptCount val="3"/>
                <c:pt idx="0">
                  <c:v>429340</c:v>
                </c:pt>
                <c:pt idx="1">
                  <c:v>488130</c:v>
                </c:pt>
                <c:pt idx="2">
                  <c:v>542320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C-2945-8B78-351A02158A2B}"/>
            </c:ext>
          </c:extLst>
        </c:ser>
        <c:ser>
          <c:idx val="3"/>
          <c:order val="3"/>
          <c:tx>
            <c:strRef>
              <c:f>'Manufacturer Revenue&amp;Units'!$L$3:$L$4</c:f>
              <c:strCache>
                <c:ptCount val="1"/>
                <c:pt idx="0">
                  <c:v>MediStream Solutions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'Manufacturer Revenue&amp;Units'!$H$5:$H$7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'Manufacturer Revenue&amp;Units'!$L$5:$L$7</c:f>
              <c:numCache>
                <c:formatCode>#,##0</c:formatCode>
                <c:ptCount val="3"/>
                <c:pt idx="0">
                  <c:v>59080</c:v>
                </c:pt>
                <c:pt idx="1">
                  <c:v>61860</c:v>
                </c:pt>
                <c:pt idx="2">
                  <c:v>46610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3C-2945-8B78-351A02158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65623072"/>
        <c:axId val="2014957935"/>
      </c:barChart>
      <c:catAx>
        <c:axId val="8656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957935"/>
        <c:crosses val="autoZero"/>
        <c:auto val="1"/>
        <c:lblAlgn val="ctr"/>
        <c:lblOffset val="100"/>
        <c:noMultiLvlLbl val="0"/>
      </c:catAx>
      <c:valAx>
        <c:axId val="20149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6867672149954946"/>
          <c:y val="0.44406033840075215"/>
          <c:w val="0.21173932171240648"/>
          <c:h val="0.205082824629100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0"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'Units Growth', 'Revenue Growth' by 'Comparison'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'Growth trend'!$B$10</c:f>
              <c:strCache>
                <c:ptCount val="1"/>
                <c:pt idx="0">
                  <c:v>Units 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'Growth trend'!$A$11:$A$14</c:f>
              <c:strCache>
                <c:ptCount val="4"/>
                <c:pt idx="0">
                  <c:v>Market 2023 vs 2022</c:v>
                </c:pt>
                <c:pt idx="1">
                  <c:v>Market 2024 vs 2023</c:v>
                </c:pt>
                <c:pt idx="2">
                  <c:v>JustPulse 2023 vs 2022</c:v>
                </c:pt>
                <c:pt idx="3">
                  <c:v>JustPulse 2024 vs 2023</c:v>
                </c:pt>
              </c:strCache>
            </c:strRef>
          </c:cat>
          <c:val>
            <c:numRef>
              <c:f>'Growth trend'!$B$11:$B$14</c:f>
              <c:numCache>
                <c:formatCode>0.0%</c:formatCode>
                <c:ptCount val="4"/>
                <c:pt idx="0">
                  <c:v>0.12283154837817489</c:v>
                </c:pt>
                <c:pt idx="1">
                  <c:v>0.1623947998631543</c:v>
                </c:pt>
                <c:pt idx="2">
                  <c:v>0.13693110355429264</c:v>
                </c:pt>
                <c:pt idx="3">
                  <c:v>0.11101550816380883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E-E342-BBE8-DAF75513D12C}"/>
            </c:ext>
          </c:extLst>
        </c:ser>
        <c:ser>
          <c:idx val="1"/>
          <c:order val="1"/>
          <c:tx>
            <c:strRef>
              <c:f>'Growth trend'!$C$10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'Growth trend'!$A$11:$A$14</c:f>
              <c:strCache>
                <c:ptCount val="4"/>
                <c:pt idx="0">
                  <c:v>Market 2023 vs 2022</c:v>
                </c:pt>
                <c:pt idx="1">
                  <c:v>Market 2024 vs 2023</c:v>
                </c:pt>
                <c:pt idx="2">
                  <c:v>JustPulse 2023 vs 2022</c:v>
                </c:pt>
                <c:pt idx="3">
                  <c:v>JustPulse 2024 vs 2023</c:v>
                </c:pt>
              </c:strCache>
            </c:strRef>
          </c:cat>
          <c:val>
            <c:numRef>
              <c:f>'Growth trend'!$C$11:$C$14</c:f>
              <c:numCache>
                <c:formatCode>0.0%</c:formatCode>
                <c:ptCount val="4"/>
                <c:pt idx="0">
                  <c:v>0.17213805282588882</c:v>
                </c:pt>
                <c:pt idx="1">
                  <c:v>0.40532266773196535</c:v>
                </c:pt>
                <c:pt idx="2">
                  <c:v>0.19265891662994816</c:v>
                </c:pt>
                <c:pt idx="3">
                  <c:v>0.13769999999999999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7E-E342-BBE8-DAF75513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706095"/>
        <c:axId val="1917135920"/>
      </c:lineChart>
      <c:catAx>
        <c:axId val="2015706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35920"/>
        <c:crosses val="autoZero"/>
        <c:auto val="1"/>
        <c:lblAlgn val="ctr"/>
        <c:lblOffset val="100"/>
        <c:noMultiLvlLbl val="0"/>
      </c:catAx>
      <c:valAx>
        <c:axId val="191713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70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'Units Growth', 'Revenue Growth' by 'Comparison'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'Growth trend'!$B$10</c:f>
              <c:strCache>
                <c:ptCount val="1"/>
                <c:pt idx="0">
                  <c:v>Units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'Growth trend'!$A$11:$A$14</c:f>
              <c:strCache>
                <c:ptCount val="4"/>
                <c:pt idx="0">
                  <c:v>Market 2023 vs 2022</c:v>
                </c:pt>
                <c:pt idx="1">
                  <c:v>Market 2024 vs 2023</c:v>
                </c:pt>
                <c:pt idx="2">
                  <c:v>JustPulse 2023 vs 2022</c:v>
                </c:pt>
                <c:pt idx="3">
                  <c:v>JustPulse 2024 vs 2023</c:v>
                </c:pt>
              </c:strCache>
            </c:strRef>
          </c:cat>
          <c:val>
            <c:numRef>
              <c:f>'Growth trend'!$B$11:$B$14</c:f>
              <c:numCache>
                <c:formatCode>0.0%</c:formatCode>
                <c:ptCount val="4"/>
                <c:pt idx="0">
                  <c:v>0.12283154837817489</c:v>
                </c:pt>
                <c:pt idx="1">
                  <c:v>0.1623947998631543</c:v>
                </c:pt>
                <c:pt idx="2">
                  <c:v>0.13693110355429264</c:v>
                </c:pt>
                <c:pt idx="3">
                  <c:v>0.11101550816380883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D-1E47-A7B4-2035D1483A42}"/>
            </c:ext>
          </c:extLst>
        </c:ser>
        <c:ser>
          <c:idx val="1"/>
          <c:order val="1"/>
          <c:tx>
            <c:strRef>
              <c:f>'Growth trend'!$C$10</c:f>
              <c:strCache>
                <c:ptCount val="1"/>
                <c:pt idx="0">
                  <c:v>Revenue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'Growth trend'!$A$11:$A$14</c:f>
              <c:strCache>
                <c:ptCount val="4"/>
                <c:pt idx="0">
                  <c:v>Market 2023 vs 2022</c:v>
                </c:pt>
                <c:pt idx="1">
                  <c:v>Market 2024 vs 2023</c:v>
                </c:pt>
                <c:pt idx="2">
                  <c:v>JustPulse 2023 vs 2022</c:v>
                </c:pt>
                <c:pt idx="3">
                  <c:v>JustPulse 2024 vs 2023</c:v>
                </c:pt>
              </c:strCache>
            </c:strRef>
          </c:cat>
          <c:val>
            <c:numRef>
              <c:f>'Growth trend'!$C$11:$C$14</c:f>
              <c:numCache>
                <c:formatCode>0.0%</c:formatCode>
                <c:ptCount val="4"/>
                <c:pt idx="0">
                  <c:v>0.17213805282588882</c:v>
                </c:pt>
                <c:pt idx="1">
                  <c:v>0.40532266773196535</c:v>
                </c:pt>
                <c:pt idx="2">
                  <c:v>0.19265891662994816</c:v>
                </c:pt>
                <c:pt idx="3">
                  <c:v>0.13769999999999999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D-1E47-A7B4-2035D1483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2046031359"/>
        <c:axId val="691799152"/>
      </c:barChart>
      <c:catAx>
        <c:axId val="2046031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99152"/>
        <c:crosses val="autoZero"/>
        <c:auto val="1"/>
        <c:lblAlgn val="ctr"/>
        <c:lblOffset val="100"/>
        <c:noMultiLvlLbl val="0"/>
      </c:catAx>
      <c:valAx>
        <c:axId val="69179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  <a:r>
              <a:rPr lang="en-US" baseline="0"/>
              <a:t> of JustPulse Medical (Revenue)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'!$A$29</c:f>
              <c:strCache>
                <c:ptCount val="1"/>
                <c:pt idx="0">
                  <c:v>JustPulse Medical Market by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'!$A$30:$A$35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'Forecast '!$C$30:$C$35</c:f>
              <c:numCache>
                <c:formatCode>"$"#,##0,,"M"</c:formatCode>
                <c:ptCount val="6"/>
                <c:pt idx="0">
                  <c:v>816958710</c:v>
                </c:pt>
                <c:pt idx="1">
                  <c:v>974353090</c:v>
                </c:pt>
                <c:pt idx="2">
                  <c:v>1108577840</c:v>
                </c:pt>
                <c:pt idx="3">
                  <c:v>1422799164.0799999</c:v>
                </c:pt>
                <c:pt idx="4">
                  <c:v>1826085086.9300001</c:v>
                </c:pt>
                <c:pt idx="5">
                  <c:v>2343680562.1399999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9A-B442-8D6A-38A5CFEDF746}"/>
            </c:ext>
          </c:extLst>
        </c:ser>
        <c:ser>
          <c:idx val="2"/>
          <c:order val="1"/>
          <c:tx>
            <c:strRef>
              <c:f>'Forecast '!$C$29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 '!$A$30:$A$35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'Forecast '!$C$30:$C$35</c:f>
              <c:numCache>
                <c:formatCode>"$"#,##0,,"M"</c:formatCode>
                <c:ptCount val="6"/>
                <c:pt idx="0">
                  <c:v>816958710</c:v>
                </c:pt>
                <c:pt idx="1">
                  <c:v>974353090</c:v>
                </c:pt>
                <c:pt idx="2">
                  <c:v>1108577840</c:v>
                </c:pt>
                <c:pt idx="3">
                  <c:v>1422799164.0799999</c:v>
                </c:pt>
                <c:pt idx="4">
                  <c:v>1826085086.9300001</c:v>
                </c:pt>
                <c:pt idx="5">
                  <c:v>2343680562.1399999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9A-B442-8D6A-38A5CFEDF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649200"/>
        <c:axId val="543650912"/>
      </c:lineChart>
      <c:catAx>
        <c:axId val="5436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50912"/>
        <c:crosses val="autoZero"/>
        <c:auto val="1"/>
        <c:lblAlgn val="ctr"/>
        <c:lblOffset val="100"/>
        <c:noMultiLvlLbl val="0"/>
      </c:catAx>
      <c:valAx>
        <c:axId val="5436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4920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  <a:r>
              <a:rPr lang="en-US" baseline="0"/>
              <a:t> of Market (Revenue)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'!$C$37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'!$A$38:$A$43</c:f>
              <c:numCache>
                <c:formatCode>General</c:formatCode>
                <c:ptCount val="6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</c:numCache>
            </c:numRef>
          </c:cat>
          <c:val>
            <c:numRef>
              <c:f>'Forecast '!$C$38:$C$43</c:f>
              <c:numCache>
                <c:formatCode>"$"#,##0,,"M"</c:formatCode>
                <c:ptCount val="6"/>
                <c:pt idx="0">
                  <c:v>1266065210</c:v>
                </c:pt>
                <c:pt idx="1">
                  <c:v>1484003210</c:v>
                </c:pt>
                <c:pt idx="2">
                  <c:v>2085503350</c:v>
                </c:pt>
                <c:pt idx="3">
                  <c:v>2676629746.6999998</c:v>
                </c:pt>
                <c:pt idx="4">
                  <c:v>3435308219.9099998</c:v>
                </c:pt>
                <c:pt idx="5">
                  <c:v>4409030640.25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C9-5C41-8A84-36D5B33CC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649200"/>
        <c:axId val="543650912"/>
      </c:lineChart>
      <c:catAx>
        <c:axId val="5436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50912"/>
        <c:crosses val="autoZero"/>
        <c:auto val="1"/>
        <c:lblAlgn val="ctr"/>
        <c:lblOffset val="100"/>
        <c:noMultiLvlLbl val="0"/>
      </c:catAx>
      <c:valAx>
        <c:axId val="5436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4920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 (Units)'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'Future Scope'!$E$3</c:f>
              <c:strCache>
                <c:ptCount val="1"/>
                <c:pt idx="0">
                  <c:v>2024 Market Share (Units)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3F-204F-8DE5-F6A901271F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3F-204F-8DE5-F6A901271F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3F-204F-8DE5-F6A901271F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3F-204F-8DE5-F6A901271FAE}"/>
              </c:ext>
            </c:extLst>
          </c:dPt>
          <c:cat>
            <c:strRef>
              <c:f>'Future Scope'!$A$4:$A$7</c:f>
              <c:strCache>
                <c:ptCount val="4"/>
                <c:pt idx="0">
                  <c:v>Atria Medical</c:v>
                </c:pt>
                <c:pt idx="1">
                  <c:v>BeneLife Devices</c:v>
                </c:pt>
                <c:pt idx="2">
                  <c:v>JustPulse Medical</c:v>
                </c:pt>
                <c:pt idx="3">
                  <c:v>MediStream Solutions</c:v>
                </c:pt>
              </c:strCache>
            </c:strRef>
          </c:cat>
          <c:val>
            <c:numRef>
              <c:f>'Future Scope'!$E$4:$E$7</c:f>
              <c:numCache>
                <c:formatCode>0.0%</c:formatCode>
                <c:ptCount val="4"/>
                <c:pt idx="0">
                  <c:v>0.23324150596877868</c:v>
                </c:pt>
                <c:pt idx="1">
                  <c:v>7.3426573426573424E-2</c:v>
                </c:pt>
                <c:pt idx="2">
                  <c:v>0.63845918391372936</c:v>
                </c:pt>
                <c:pt idx="3">
                  <c:v>5.4872736690918508E-2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5-D046-8BA3-02EB3F7C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Share(Revenue)'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'Future Scope'!$I$3</c:f>
              <c:strCache>
                <c:ptCount val="1"/>
                <c:pt idx="0">
                  <c:v>2024 Market Share(Revenue)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26-4444-AAF0-A43DB019DE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26-4444-AAF0-A43DB019DE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26-4444-AAF0-A43DB019DE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26-4444-AAF0-A43DB019DE90}"/>
              </c:ext>
            </c:extLst>
          </c:dPt>
          <c:cat>
            <c:strRef>
              <c:f>'Future Scope'!$A$4:$A$7</c:f>
              <c:strCache>
                <c:ptCount val="4"/>
                <c:pt idx="0">
                  <c:v>Atria Medical</c:v>
                </c:pt>
                <c:pt idx="1">
                  <c:v>BeneLife Devices</c:v>
                </c:pt>
                <c:pt idx="2">
                  <c:v>JustPulse Medical</c:v>
                </c:pt>
                <c:pt idx="3">
                  <c:v>MediStream Solutions</c:v>
                </c:pt>
              </c:strCache>
            </c:strRef>
          </c:cat>
          <c:val>
            <c:numRef>
              <c:f>'Future Scope'!$I$4:$I$7</c:f>
              <c:numCache>
                <c:formatCode>0.0%</c:formatCode>
                <c:ptCount val="4"/>
                <c:pt idx="0">
                  <c:v>0.19434943607259131</c:v>
                </c:pt>
                <c:pt idx="1">
                  <c:v>0.20001148883313949</c:v>
                </c:pt>
                <c:pt idx="2">
                  <c:v>0.53156368221609429</c:v>
                </c:pt>
                <c:pt idx="3">
                  <c:v>7.4075392878174953E-2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5944-8424-1715165D0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Share(Revenue)'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'Future Scope'!$I$3</c:f>
              <c:strCache>
                <c:ptCount val="1"/>
                <c:pt idx="0">
                  <c:v>2024 Market Share(Revenue)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3D-7442-B255-5093401A81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3D-7442-B255-5093401A81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3D-7442-B255-5093401A8117}"/>
              </c:ext>
            </c:extLst>
          </c:dPt>
          <c:cat>
            <c:strRef>
              <c:f>'Future Scope'!$A$4:$A$7</c:f>
              <c:strCache>
                <c:ptCount val="4"/>
                <c:pt idx="0">
                  <c:v>Atria Medical</c:v>
                </c:pt>
                <c:pt idx="1">
                  <c:v>BeneLife Devices</c:v>
                </c:pt>
                <c:pt idx="2">
                  <c:v>JustPulse Medical</c:v>
                </c:pt>
                <c:pt idx="3">
                  <c:v>MediStream Solutions</c:v>
                </c:pt>
              </c:strCache>
            </c:strRef>
          </c:cat>
          <c:val>
            <c:numRef>
              <c:f>'Future Scope'!$I$4:$I$7</c:f>
              <c:numCache>
                <c:formatCode>0.0%</c:formatCode>
                <c:ptCount val="4"/>
                <c:pt idx="0">
                  <c:v>0.19434943607259131</c:v>
                </c:pt>
                <c:pt idx="1">
                  <c:v>0.20001148883313949</c:v>
                </c:pt>
                <c:pt idx="2">
                  <c:v>0.53156368221609429</c:v>
                </c:pt>
                <c:pt idx="3">
                  <c:v>7.4075392878174953E-2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D-7442-B255-5093401A8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0566240"/>
        <c:axId val="413723232"/>
      </c:barChart>
      <c:catAx>
        <c:axId val="150566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Manufacturer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23232"/>
        <c:crosses val="autoZero"/>
        <c:auto val="1"/>
        <c:lblAlgn val="ctr"/>
        <c:lblOffset val="100"/>
        <c:noMultiLvlLbl val="0"/>
      </c:catAx>
      <c:valAx>
        <c:axId val="41372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2024 Market Share(Revenue)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 (Units)'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'Future Scope'!$E$3</c:f>
              <c:strCache>
                <c:ptCount val="1"/>
                <c:pt idx="0">
                  <c:v>2024 Market Share (Units)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A5-5443-B248-EE8C36BF3F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A5-5443-B248-EE8C36BF3F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A5-5443-B248-EE8C36BF3F03}"/>
              </c:ext>
            </c:extLst>
          </c:dPt>
          <c:cat>
            <c:strRef>
              <c:f>'Future Scope'!$A$4:$A$7</c:f>
              <c:strCache>
                <c:ptCount val="4"/>
                <c:pt idx="0">
                  <c:v>Atria Medical</c:v>
                </c:pt>
                <c:pt idx="1">
                  <c:v>BeneLife Devices</c:v>
                </c:pt>
                <c:pt idx="2">
                  <c:v>JustPulse Medical</c:v>
                </c:pt>
                <c:pt idx="3">
                  <c:v>MediStream Solutions</c:v>
                </c:pt>
              </c:strCache>
            </c:strRef>
          </c:cat>
          <c:val>
            <c:numRef>
              <c:f>'Future Scope'!$E$4:$E$7</c:f>
              <c:numCache>
                <c:formatCode>0.0%</c:formatCode>
                <c:ptCount val="4"/>
                <c:pt idx="0">
                  <c:v>0.23324150596877868</c:v>
                </c:pt>
                <c:pt idx="1">
                  <c:v>7.3426573426573424E-2</c:v>
                </c:pt>
                <c:pt idx="2">
                  <c:v>0.63845918391372936</c:v>
                </c:pt>
                <c:pt idx="3">
                  <c:v>5.4872736690918508E-2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5-5443-B248-EE8C36BF3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0215504"/>
        <c:axId val="150661152"/>
      </c:barChart>
      <c:catAx>
        <c:axId val="150215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Manufacturer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61152"/>
        <c:crosses val="autoZero"/>
        <c:auto val="1"/>
        <c:lblAlgn val="ctr"/>
        <c:lblOffset val="100"/>
        <c:noMultiLvlLbl val="0"/>
      </c:catAx>
      <c:valAx>
        <c:axId val="15066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2024 Market Share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Forecasting.xlsx]Market share yearly!PivotTable3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share yearly'!$B$3:$B$4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'Market share yearly'!$A$5:$A$8</c:f>
              <c:multiLvlStrCache>
                <c:ptCount val="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</c:lvl>
                <c:lvl>
                  <c:pt idx="0">
                    <c:v>Revenue</c:v>
                  </c:pt>
                </c:lvl>
              </c:multiLvlStrCache>
            </c:multiLvlStrRef>
          </c:cat>
          <c:val>
            <c:numRef>
              <c:f>'Market share yearly'!$B$5:$B$8</c:f>
              <c:numCache>
                <c:formatCode>"$"#,##0,,"M"</c:formatCode>
                <c:ptCount val="3"/>
                <c:pt idx="0">
                  <c:v>53121150</c:v>
                </c:pt>
                <c:pt idx="1">
                  <c:v>63374780</c:v>
                </c:pt>
                <c:pt idx="2">
                  <c:v>75274380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0-5749-A203-31993346CD7D}"/>
            </c:ext>
          </c:extLst>
        </c:ser>
        <c:ser>
          <c:idx val="1"/>
          <c:order val="1"/>
          <c:tx>
            <c:strRef>
              <c:f>'Market share yearly'!$C$3:$C$4</c:f>
              <c:strCache>
                <c:ptCount val="1"/>
                <c:pt idx="0">
                  <c:v>Diagnostic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'Market share yearly'!$A$5:$A$8</c:f>
              <c:multiLvlStrCache>
                <c:ptCount val="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</c:lvl>
                <c:lvl>
                  <c:pt idx="0">
                    <c:v>Revenue</c:v>
                  </c:pt>
                </c:lvl>
              </c:multiLvlStrCache>
            </c:multiLvlStrRef>
          </c:cat>
          <c:val>
            <c:numRef>
              <c:f>'Market share yearly'!$C$5:$C$8</c:f>
              <c:numCache>
                <c:formatCode>"$"#,##0,,"M"</c:formatCode>
                <c:ptCount val="3"/>
                <c:pt idx="0">
                  <c:v>192472900</c:v>
                </c:pt>
                <c:pt idx="1">
                  <c:v>259046050</c:v>
                </c:pt>
                <c:pt idx="2">
                  <c:v>306716260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0-5749-A203-31993346CD7D}"/>
            </c:ext>
          </c:extLst>
        </c:ser>
        <c:ser>
          <c:idx val="2"/>
          <c:order val="2"/>
          <c:tx>
            <c:strRef>
              <c:f>'Market share yearly'!$D$3:$D$4</c:f>
              <c:strCache>
                <c:ptCount val="1"/>
                <c:pt idx="0">
                  <c:v>Therapeutic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'Market share yearly'!$A$5:$A$8</c:f>
              <c:multiLvlStrCache>
                <c:ptCount val="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</c:lvl>
                <c:lvl>
                  <c:pt idx="0">
                    <c:v>Revenue</c:v>
                  </c:pt>
                </c:lvl>
              </c:multiLvlStrCache>
            </c:multiLvlStrRef>
          </c:cat>
          <c:val>
            <c:numRef>
              <c:f>'Market share yearly'!$D$5:$D$8</c:f>
              <c:numCache>
                <c:formatCode>"$"#,##0,,"M"</c:formatCode>
                <c:ptCount val="3"/>
                <c:pt idx="0">
                  <c:v>361615450</c:v>
                </c:pt>
                <c:pt idx="1">
                  <c:v>435628950</c:v>
                </c:pt>
                <c:pt idx="2">
                  <c:v>462234390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60-5749-A203-31993346CD7D}"/>
            </c:ext>
          </c:extLst>
        </c:ser>
        <c:ser>
          <c:idx val="3"/>
          <c:order val="3"/>
          <c:tx>
            <c:strRef>
              <c:f>'Market share yearly'!$E$3:$E$4</c:f>
              <c:strCache>
                <c:ptCount val="1"/>
                <c:pt idx="0">
                  <c:v>Ultrasound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'Market share yearly'!$A$5:$A$8</c:f>
              <c:multiLvlStrCache>
                <c:ptCount val="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</c:lvl>
                <c:lvl>
                  <c:pt idx="0">
                    <c:v>Revenue</c:v>
                  </c:pt>
                </c:lvl>
              </c:multiLvlStrCache>
            </c:multiLvlStrRef>
          </c:cat>
          <c:val>
            <c:numRef>
              <c:f>'Market share yearly'!$E$5:$E$8</c:f>
              <c:numCache>
                <c:formatCode>"$"#,##0,,"M"</c:formatCode>
                <c:ptCount val="3"/>
                <c:pt idx="0">
                  <c:v>209749210</c:v>
                </c:pt>
                <c:pt idx="1">
                  <c:v>216303310</c:v>
                </c:pt>
                <c:pt idx="2">
                  <c:v>264352810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60-5749-A203-31993346C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53680"/>
        <c:axId val="115155392"/>
      </c:barChart>
      <c:catAx>
        <c:axId val="11515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5392"/>
        <c:crosses val="autoZero"/>
        <c:auto val="1"/>
        <c:lblAlgn val="ctr"/>
        <c:lblOffset val="100"/>
        <c:noMultiLvlLbl val="0"/>
      </c:catAx>
      <c:valAx>
        <c:axId val="11515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[Electrophysiology Market Analysis &amp; Forecasting.xlsx]Market share yearly!PivotTable4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share yearly'!$I$3:$I$4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'Market share yearly'!$H$5:$H$8</c:f>
              <c:multiLvlStrCache>
                <c:ptCount val="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</c:lvl>
                <c:lvl>
                  <c:pt idx="0">
                    <c:v>Units</c:v>
                  </c:pt>
                </c:lvl>
              </c:multiLvlStrCache>
            </c:multiLvlStrRef>
          </c:cat>
          <c:val>
            <c:numRef>
              <c:f>'Market share yearly'!$I$5:$I$8</c:f>
              <c:numCache>
                <c:formatCode>#,##0</c:formatCode>
                <c:ptCount val="3"/>
                <c:pt idx="0">
                  <c:v>122370</c:v>
                </c:pt>
                <c:pt idx="1">
                  <c:v>137460</c:v>
                </c:pt>
                <c:pt idx="2">
                  <c:v>155040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A-A548-B48A-FE9C0D24922C}"/>
            </c:ext>
          </c:extLst>
        </c:ser>
        <c:ser>
          <c:idx val="1"/>
          <c:order val="1"/>
          <c:tx>
            <c:strRef>
              <c:f>'Market share yearly'!$J$3:$J$4</c:f>
              <c:strCache>
                <c:ptCount val="1"/>
                <c:pt idx="0">
                  <c:v>Diagnostic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'Market share yearly'!$H$5:$H$8</c:f>
              <c:multiLvlStrCache>
                <c:ptCount val="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</c:lvl>
                <c:lvl>
                  <c:pt idx="0">
                    <c:v>Units</c:v>
                  </c:pt>
                </c:lvl>
              </c:multiLvlStrCache>
            </c:multiLvlStrRef>
          </c:cat>
          <c:val>
            <c:numRef>
              <c:f>'Market share yearly'!$J$5:$J$8</c:f>
              <c:numCache>
                <c:formatCode>#,##0</c:formatCode>
                <c:ptCount val="3"/>
                <c:pt idx="0">
                  <c:v>114340</c:v>
                </c:pt>
                <c:pt idx="1">
                  <c:v>139210</c:v>
                </c:pt>
                <c:pt idx="2">
                  <c:v>160500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A-A548-B48A-FE9C0D24922C}"/>
            </c:ext>
          </c:extLst>
        </c:ser>
        <c:ser>
          <c:idx val="2"/>
          <c:order val="2"/>
          <c:tx>
            <c:strRef>
              <c:f>'Market share yearly'!$K$3:$K$4</c:f>
              <c:strCache>
                <c:ptCount val="1"/>
                <c:pt idx="0">
                  <c:v>Therapeutic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'Market share yearly'!$H$5:$H$8</c:f>
              <c:multiLvlStrCache>
                <c:ptCount val="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</c:lvl>
                <c:lvl>
                  <c:pt idx="0">
                    <c:v>Units</c:v>
                  </c:pt>
                </c:lvl>
              </c:multiLvlStrCache>
            </c:multiLvlStrRef>
          </c:cat>
          <c:val>
            <c:numRef>
              <c:f>'Market share yearly'!$K$5:$K$8</c:f>
              <c:numCache>
                <c:formatCode>#,##0</c:formatCode>
                <c:ptCount val="3"/>
                <c:pt idx="0">
                  <c:v>111530</c:v>
                </c:pt>
                <c:pt idx="1">
                  <c:v>130130</c:v>
                </c:pt>
                <c:pt idx="2">
                  <c:v>127690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BA-A548-B48A-FE9C0D24922C}"/>
            </c:ext>
          </c:extLst>
        </c:ser>
        <c:ser>
          <c:idx val="3"/>
          <c:order val="3"/>
          <c:tx>
            <c:strRef>
              <c:f>'Market share yearly'!$L$3:$L$4</c:f>
              <c:strCache>
                <c:ptCount val="1"/>
                <c:pt idx="0">
                  <c:v>Ultrasound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'Market share yearly'!$H$5:$H$8</c:f>
              <c:multiLvlStrCache>
                <c:ptCount val="3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</c:lvl>
                <c:lvl>
                  <c:pt idx="0">
                    <c:v>Units</c:v>
                  </c:pt>
                </c:lvl>
              </c:multiLvlStrCache>
            </c:multiLvlStrRef>
          </c:cat>
          <c:val>
            <c:numRef>
              <c:f>'Market share yearly'!$L$5:$L$8</c:f>
              <c:numCache>
                <c:formatCode>#,##0</c:formatCode>
                <c:ptCount val="3"/>
                <c:pt idx="0">
                  <c:v>81100</c:v>
                </c:pt>
                <c:pt idx="1">
                  <c:v>81330</c:v>
                </c:pt>
                <c:pt idx="2">
                  <c:v>99090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BA-A548-B48A-FE9C0D249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429424"/>
        <c:axId val="569432976"/>
      </c:barChart>
      <c:catAx>
        <c:axId val="56942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32976"/>
        <c:crosses val="autoZero"/>
        <c:auto val="1"/>
        <c:lblAlgn val="ctr"/>
        <c:lblOffset val="100"/>
        <c:noMultiLvlLbl val="0"/>
      </c:catAx>
      <c:valAx>
        <c:axId val="5694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2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 (Units)'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'2024 market share by Product'!$E$3</c:f>
              <c:strCache>
                <c:ptCount val="1"/>
                <c:pt idx="0">
                  <c:v>2024 Market Share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9C-F54A-8674-0C348EB84E1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9C-F54A-8674-0C348EB84E1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9C-F54A-8674-0C348EB84E19}"/>
              </c:ext>
            </c:extLst>
          </c:dPt>
          <c:cat>
            <c:strRef>
              <c:f>'2024 market share by Product'!$A$4:$A$7</c:f>
              <c:strCache>
                <c:ptCount val="4"/>
                <c:pt idx="0">
                  <c:v>Accessories</c:v>
                </c:pt>
                <c:pt idx="1">
                  <c:v>Diagnostic</c:v>
                </c:pt>
                <c:pt idx="2">
                  <c:v>Therapeutic</c:v>
                </c:pt>
                <c:pt idx="3">
                  <c:v>Ultrasound</c:v>
                </c:pt>
              </c:strCache>
            </c:strRef>
          </c:cat>
          <c:val>
            <c:numRef>
              <c:f>'2024 market share by Product'!$E$4:$E$7</c:f>
              <c:numCache>
                <c:formatCode>0.0%</c:formatCode>
                <c:ptCount val="4"/>
                <c:pt idx="0">
                  <c:v>0.2812271903180994</c:v>
                </c:pt>
                <c:pt idx="1">
                  <c:v>0.26175507993689812</c:v>
                </c:pt>
                <c:pt idx="2">
                  <c:v>0.29899225353770809</c:v>
                </c:pt>
                <c:pt idx="3">
                  <c:v>0.1580254762072944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C-F54A-8674-0C348EB8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26086304"/>
        <c:axId val="1526293120"/>
      </c:barChart>
      <c:catAx>
        <c:axId val="42608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93120"/>
        <c:crosses val="autoZero"/>
        <c:auto val="1"/>
        <c:lblAlgn val="ctr"/>
        <c:lblOffset val="100"/>
        <c:noMultiLvlLbl val="0"/>
      </c:catAx>
      <c:valAx>
        <c:axId val="152629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2024 Market Share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'2024 Market Share(Revenue)'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47069116360454"/>
          <c:y val="0.17634259259259263"/>
          <c:w val="0.7168834208223972"/>
          <c:h val="0.62308654126567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'2024 market share by Product'!$I$3</c:f>
              <c:strCache>
                <c:ptCount val="1"/>
                <c:pt idx="0">
                  <c:v>2024 Market Share(Revenue)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B8-4B43-BD5F-44EE8B34D57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8-4B43-BD5F-44EE8B34D57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8-4B43-BD5F-44EE8B34D576}"/>
              </c:ext>
            </c:extLst>
          </c:dPt>
          <c:cat>
            <c:strRef>
              <c:f>'2024 market share by Product'!$A$4:$A$7</c:f>
              <c:strCache>
                <c:ptCount val="4"/>
                <c:pt idx="0">
                  <c:v>Accessories</c:v>
                </c:pt>
                <c:pt idx="1">
                  <c:v>Diagnostic</c:v>
                </c:pt>
                <c:pt idx="2">
                  <c:v>Therapeutic</c:v>
                </c:pt>
                <c:pt idx="3">
                  <c:v>Ultrasound</c:v>
                </c:pt>
              </c:strCache>
            </c:strRef>
          </c:cat>
          <c:val>
            <c:numRef>
              <c:f>'2024 market share by Product'!$I$4:$I$7</c:f>
              <c:numCache>
                <c:formatCode>0.0%</c:formatCode>
                <c:ptCount val="4"/>
                <c:pt idx="0">
                  <c:v>8.1786792622510054E-2</c:v>
                </c:pt>
                <c:pt idx="1">
                  <c:v>0.19897934951770757</c:v>
                </c:pt>
                <c:pt idx="2">
                  <c:v>0.5583677053311854</c:v>
                </c:pt>
                <c:pt idx="3">
                  <c:v>0.16086615252859698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8-4B43-BD5F-44EE8B34D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86249808"/>
        <c:axId val="413765376"/>
      </c:barChart>
      <c:catAx>
        <c:axId val="98624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65376"/>
        <c:crosses val="autoZero"/>
        <c:auto val="1"/>
        <c:lblAlgn val="ctr"/>
        <c:lblOffset val="100"/>
        <c:noMultiLvlLbl val="0"/>
      </c:catAx>
      <c:valAx>
        <c:axId val="41376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2024 Market Share(Revenue)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4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'JustPulse Medical 2024 Market Share(Revenue)'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47069116360454"/>
          <c:y val="0.17634259259259263"/>
          <c:w val="0.7168834208223972"/>
          <c:h val="0.62308654126567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'2024 market share by Product'!$U$3</c:f>
              <c:strCache>
                <c:ptCount val="1"/>
                <c:pt idx="0">
                  <c:v>2024 Market Share(Revenue)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6F-1E49-8458-108EB7BB1D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6F-1E49-8458-108EB7BB1DA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6F-1E49-8458-108EB7BB1DA0}"/>
              </c:ext>
            </c:extLst>
          </c:dPt>
          <c:cat>
            <c:strRef>
              <c:f>'2024 market share by Product'!$M$4:$M$7</c:f>
              <c:strCache>
                <c:ptCount val="4"/>
                <c:pt idx="0">
                  <c:v>Accessories</c:v>
                </c:pt>
                <c:pt idx="1">
                  <c:v>Diagnostic</c:v>
                </c:pt>
                <c:pt idx="2">
                  <c:v>Therapeutic</c:v>
                </c:pt>
                <c:pt idx="3">
                  <c:v>Ultrasound</c:v>
                </c:pt>
              </c:strCache>
            </c:strRef>
          </c:cat>
          <c:val>
            <c:numRef>
              <c:f>'2024 market share by Product'!$U$4:$U$7</c:f>
              <c:numCache>
                <c:formatCode>0.0%</c:formatCode>
                <c:ptCount val="4"/>
                <c:pt idx="0">
                  <c:v>3.6094106489927238E-2</c:v>
                </c:pt>
                <c:pt idx="1">
                  <c:v>0.14707061487098547</c:v>
                </c:pt>
                <c:pt idx="2">
                  <c:v>0.22164164349100662</c:v>
                </c:pt>
                <c:pt idx="3">
                  <c:v>0.12675731736417495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6F-1E49-8458-108EB7BB1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86249808"/>
        <c:axId val="413765376"/>
      </c:barChart>
      <c:catAx>
        <c:axId val="98624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65376"/>
        <c:crosses val="autoZero"/>
        <c:auto val="1"/>
        <c:lblAlgn val="ctr"/>
        <c:lblOffset val="100"/>
        <c:noMultiLvlLbl val="0"/>
      </c:catAx>
      <c:valAx>
        <c:axId val="41376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JustPulse Medical</a:t>
                </a:r>
                <a:r>
                  <a:rPr lang="en-US" baseline="0"/>
                  <a:t> </a:t>
                </a:r>
                <a:r>
                  <a:rPr lang="en-US"/>
                  <a:t>2024 Market Share(Revenue)</a:t>
                </a:r>
              </a:p>
            </c:rich>
          </c:tx>
          <c:layout>
            <c:manualLayout>
              <c:xMode val="edge"/>
              <c:yMode val="edge"/>
              <c:x val="0.31215614839189876"/>
              <c:y val="0.90278570902936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4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'JustPulse Medical 2024 Market Share (Units)'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'2024 market share by Product'!$Q$3</c:f>
              <c:strCache>
                <c:ptCount val="1"/>
                <c:pt idx="0">
                  <c:v>2024 Market Share (Units)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0F-7848-AB1C-898298A0EC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0F-7848-AB1C-898298A0EC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0F-7848-AB1C-898298A0EC28}"/>
              </c:ext>
            </c:extLst>
          </c:dPt>
          <c:cat>
            <c:strRef>
              <c:f>'2024 market share by Product'!$M$4:$M$7</c:f>
              <c:strCache>
                <c:ptCount val="4"/>
                <c:pt idx="0">
                  <c:v>Accessories</c:v>
                </c:pt>
                <c:pt idx="1">
                  <c:v>Diagnostic</c:v>
                </c:pt>
                <c:pt idx="2">
                  <c:v>Therapeutic</c:v>
                </c:pt>
                <c:pt idx="3">
                  <c:v>Ultrasound</c:v>
                </c:pt>
              </c:strCache>
            </c:strRef>
          </c:cat>
          <c:val>
            <c:numRef>
              <c:f>'2024 market share by Product'!$Q$4:$Q$7</c:f>
              <c:numCache>
                <c:formatCode>0.0%</c:formatCode>
                <c:ptCount val="4"/>
                <c:pt idx="0">
                  <c:v>0.1825245461609098</c:v>
                </c:pt>
                <c:pt idx="1">
                  <c:v>0.1889524616797344</c:v>
                </c:pt>
                <c:pt idx="2">
                  <c:v>0.15032610487155942</c:v>
                </c:pt>
                <c:pt idx="3">
                  <c:v>0.11665607120152574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0F-7848-AB1C-898298A0E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26086304"/>
        <c:axId val="1526293120"/>
      </c:barChart>
      <c:catAx>
        <c:axId val="42608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293120"/>
        <c:crosses val="autoZero"/>
        <c:auto val="1"/>
        <c:lblAlgn val="ctr"/>
        <c:lblOffset val="100"/>
        <c:noMultiLvlLbl val="0"/>
      </c:catAx>
      <c:valAx>
        <c:axId val="152629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JustPulse Medical 2024 Market Share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40</xdr:row>
      <xdr:rowOff>12700</xdr:rowOff>
    </xdr:from>
    <xdr:to>
      <xdr:col>8</xdr:col>
      <xdr:colOff>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47ED9-AA0F-B84D-A023-8BBAE26AC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254000</xdr:colOff>
      <xdr:row>24</xdr:row>
      <xdr:rowOff>12700</xdr:rowOff>
    </xdr:from>
    <xdr:to>
      <xdr:col>13</xdr:col>
      <xdr:colOff>596900</xdr:colOff>
      <xdr:row>54</xdr:row>
      <xdr:rowOff>181146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7D3E8B-CCAF-E643-92E9-2FE88784A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241300</xdr:colOff>
      <xdr:row>24</xdr:row>
      <xdr:rowOff>12700</xdr:rowOff>
    </xdr:from>
    <xdr:to>
      <xdr:col>8</xdr:col>
      <xdr:colOff>0</xdr:colOff>
      <xdr:row>38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965051-DD1A-FD42-A81B-51724279F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762001</xdr:colOff>
      <xdr:row>24</xdr:row>
      <xdr:rowOff>12700</xdr:rowOff>
    </xdr:from>
    <xdr:to>
      <xdr:col>19</xdr:col>
      <xdr:colOff>520700</xdr:colOff>
      <xdr:row>55</xdr:row>
      <xdr:rowOff>8862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46848E-D002-8F4B-B9FE-9402780BB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1</xdr:row>
      <xdr:rowOff>0</xdr:rowOff>
    </xdr:from>
    <xdr:to>
      <xdr:col>8</xdr:col>
      <xdr:colOff>0</xdr:colOff>
      <xdr:row>22</xdr:row>
      <xdr:rowOff>177800</xdr:rowOff>
    </xdr:to>
    <xdr:graphicFrame macro="">
      <xdr:nvGraphicFramePr>
        <xdr:cNvPr id="7" name="Chart 6" descr="Chart type: Clustered Bar. 'Units Growth', 'Revenue Growth' by 'Comparison'&#10;&#10;Description automatically generated">
          <a:extLst>
            <a:ext uri="{FF2B5EF4-FFF2-40B4-BE49-F238E27FC236}">
              <a16:creationId xmlns:a16="http://schemas.microsoft.com/office/drawing/2014/main" id="{2C389D15-C7AD-2F49-A0E9-73C18B854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279400</xdr:colOff>
      <xdr:row>1</xdr:row>
      <xdr:rowOff>38100</xdr:rowOff>
    </xdr:from>
    <xdr:to>
      <xdr:col>11</xdr:col>
      <xdr:colOff>787400</xdr:colOff>
      <xdr:row>23</xdr:row>
      <xdr:rowOff>0</xdr:rowOff>
    </xdr:to>
    <xdr:graphicFrame macro="">
      <xdr:nvGraphicFramePr>
        <xdr:cNvPr id="3" name="Chart 2" descr="Chart type: Pie. '2024 Market Share (Units)'&#10;&#10;Description automatically generated">
          <a:extLst>
            <a:ext uri="{FF2B5EF4-FFF2-40B4-BE49-F238E27FC236}">
              <a16:creationId xmlns:a16="http://schemas.microsoft.com/office/drawing/2014/main" id="{986ECDA9-F269-8748-9A2A-9B99F10E2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190500</xdr:colOff>
      <xdr:row>1</xdr:row>
      <xdr:rowOff>50800</xdr:rowOff>
    </xdr:from>
    <xdr:to>
      <xdr:col>15</xdr:col>
      <xdr:colOff>774700</xdr:colOff>
      <xdr:row>23</xdr:row>
      <xdr:rowOff>0</xdr:rowOff>
    </xdr:to>
    <xdr:graphicFrame macro="">
      <xdr:nvGraphicFramePr>
        <xdr:cNvPr id="8" name="Chart 7" descr="Chart type: Pie. '2024 Market Share(Revenue)'&#10;&#10;Description automatically generated">
          <a:extLst>
            <a:ext uri="{FF2B5EF4-FFF2-40B4-BE49-F238E27FC236}">
              <a16:creationId xmlns:a16="http://schemas.microsoft.com/office/drawing/2014/main" id="{AE7D0007-98FD-C84F-B113-56D8F1D50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215900</xdr:colOff>
      <xdr:row>1</xdr:row>
      <xdr:rowOff>127000</xdr:rowOff>
    </xdr:from>
    <xdr:to>
      <xdr:col>19</xdr:col>
      <xdr:colOff>787400</xdr:colOff>
      <xdr:row>12</xdr:row>
      <xdr:rowOff>76200</xdr:rowOff>
    </xdr:to>
    <xdr:graphicFrame macro="">
      <xdr:nvGraphicFramePr>
        <xdr:cNvPr id="9" name="Chart 8" descr="Chart type: Clustered Bar. '2024 Market Share (Units)'&#10;&#10;Description automatically generated">
          <a:extLst>
            <a:ext uri="{FF2B5EF4-FFF2-40B4-BE49-F238E27FC236}">
              <a16:creationId xmlns:a16="http://schemas.microsoft.com/office/drawing/2014/main" id="{F7AA6415-0776-D74F-B9E3-AB0740ACC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203200</xdr:colOff>
      <xdr:row>13</xdr:row>
      <xdr:rowOff>0</xdr:rowOff>
    </xdr:from>
    <xdr:to>
      <xdr:col>19</xdr:col>
      <xdr:colOff>787400</xdr:colOff>
      <xdr:row>23</xdr:row>
      <xdr:rowOff>101600</xdr:rowOff>
    </xdr:to>
    <xdr:graphicFrame macro="">
      <xdr:nvGraphicFramePr>
        <xdr:cNvPr id="10" name="Chart 9" descr="Chart type: Clustered Bar. '2024 Market Share(Revenue)'&#10;&#10;Description automatically generated">
          <a:extLst>
            <a:ext uri="{FF2B5EF4-FFF2-40B4-BE49-F238E27FC236}">
              <a16:creationId xmlns:a16="http://schemas.microsoft.com/office/drawing/2014/main" id="{429655A1-102F-6A4E-9AE7-2DDA1D283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25400</xdr:colOff>
      <xdr:row>1</xdr:row>
      <xdr:rowOff>127000</xdr:rowOff>
    </xdr:from>
    <xdr:to>
      <xdr:col>23</xdr:col>
      <xdr:colOff>596900</xdr:colOff>
      <xdr:row>12</xdr:row>
      <xdr:rowOff>76200</xdr:rowOff>
    </xdr:to>
    <xdr:graphicFrame macro="">
      <xdr:nvGraphicFramePr>
        <xdr:cNvPr id="11" name="Chart 10" descr="Chart type: Clustered Bar. '2024 Market Share (Units)'&#10;&#10;Description automatically generated">
          <a:extLst>
            <a:ext uri="{FF2B5EF4-FFF2-40B4-BE49-F238E27FC236}">
              <a16:creationId xmlns:a16="http://schemas.microsoft.com/office/drawing/2014/main" id="{AE4DF7C0-36B5-A448-BB70-A83923D4B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50800</xdr:colOff>
      <xdr:row>13</xdr:row>
      <xdr:rowOff>0</xdr:rowOff>
    </xdr:from>
    <xdr:to>
      <xdr:col>23</xdr:col>
      <xdr:colOff>596900</xdr:colOff>
      <xdr:row>23</xdr:row>
      <xdr:rowOff>88900</xdr:rowOff>
    </xdr:to>
    <xdr:graphicFrame macro="">
      <xdr:nvGraphicFramePr>
        <xdr:cNvPr id="12" name="Chart 11" descr="Chart type: Clustered Bar. '2024 Market Share(Revenue)'&#10;&#10;Description automatically generated">
          <a:extLst>
            <a:ext uri="{FF2B5EF4-FFF2-40B4-BE49-F238E27FC236}">
              <a16:creationId xmlns:a16="http://schemas.microsoft.com/office/drawing/2014/main" id="{FEB82564-6B69-9D45-80EC-4AD054803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635000</xdr:colOff>
      <xdr:row>24</xdr:row>
      <xdr:rowOff>25400</xdr:rowOff>
    </xdr:from>
    <xdr:to>
      <xdr:col>24</xdr:col>
      <xdr:colOff>12700</xdr:colOff>
      <xdr:row>39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2A165E-686D-A94A-85FF-34DC97400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622300</xdr:colOff>
      <xdr:row>40</xdr:row>
      <xdr:rowOff>38100</xdr:rowOff>
    </xdr:from>
    <xdr:to>
      <xdr:col>24</xdr:col>
      <xdr:colOff>0</xdr:colOff>
      <xdr:row>54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B28C87D-C725-F544-9FB5-2C3484C7C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0.446</cdr:x>
      <cdr:y>0</cdr:y>
    </cdr:from>
    <cdr:to>
      <cdr:x>0.578</cdr:x>
      <cdr:y>0.08036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72D54C3-6BEC-9C84-F500-B1090595B705}"/>
            </a:ext>
          </a:extLst>
        </cdr:cNvPr>
        <cdr:cNvSpPr txBox="1"/>
      </cdr:nvSpPr>
      <cdr:spPr>
        <a:xfrm xmlns:a="http://schemas.openxmlformats.org/drawingml/2006/main">
          <a:off x="2832100" y="0"/>
          <a:ext cx="8382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Revenue</a:t>
          </a:r>
        </a:p>
      </cdr:txBody>
    </cdr:sp>
  </cdr:relSizeAnchor>
  <cdr:relSizeAnchor xmlns:cdr="http://schemas.openxmlformats.org/drawingml/2006/chartDrawing">
    <cdr:from>
      <cdr:x>0.87649</cdr:x>
      <cdr:y>0.26786</cdr:y>
    </cdr:from>
    <cdr:to>
      <cdr:x>0.99602</cdr:x>
      <cdr:y>0.35714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16989E97-F723-E73E-8628-FE7AFD28C7D8}"/>
            </a:ext>
          </a:extLst>
        </cdr:cNvPr>
        <cdr:cNvSpPr txBox="1"/>
      </cdr:nvSpPr>
      <cdr:spPr>
        <a:xfrm xmlns:a="http://schemas.openxmlformats.org/drawingml/2006/main">
          <a:off x="5588000" y="762000"/>
          <a:ext cx="762000" cy="2540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</a:rPr>
            <a:t>Product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0.44608</cdr:x>
      <cdr:y>0.00665</cdr:y>
    </cdr:from>
    <cdr:to>
      <cdr:x>0.56618</cdr:x>
      <cdr:y>0.06233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EBF06CE-4803-816D-194F-A926A904F391}"/>
            </a:ext>
          </a:extLst>
        </cdr:cNvPr>
        <cdr:cNvSpPr txBox="1"/>
      </cdr:nvSpPr>
      <cdr:spPr>
        <a:xfrm xmlns:a="http://schemas.openxmlformats.org/drawingml/2006/main">
          <a:off x="2853580" y="37473"/>
          <a:ext cx="768272" cy="313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kern="1200"/>
            <a:t>Revenue</a:t>
          </a:r>
        </a:p>
      </cdr:txBody>
    </cdr:sp>
  </cdr:relSizeAnchor>
  <cdr:relSizeAnchor xmlns:cdr="http://schemas.openxmlformats.org/drawingml/2006/chartDrawing">
    <cdr:from>
      <cdr:x>0.76136</cdr:x>
      <cdr:y>0.36951</cdr:y>
    </cdr:from>
    <cdr:to>
      <cdr:x>0.99148</cdr:x>
      <cdr:y>0.4311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918C19D-EDD0-EF8C-96AB-CFE2F81654A8}"/>
            </a:ext>
          </a:extLst>
        </cdr:cNvPr>
        <cdr:cNvSpPr txBox="1"/>
      </cdr:nvSpPr>
      <cdr:spPr>
        <a:xfrm xmlns:a="http://schemas.openxmlformats.org/drawingml/2006/main">
          <a:off x="3403600" y="2173992"/>
          <a:ext cx="1028700" cy="36236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Manufacturer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0.41141</cdr:x>
      <cdr:y>0.00457</cdr:y>
    </cdr:from>
    <cdr:to>
      <cdr:x>0.5336</cdr:x>
      <cdr:y>0.07306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16989E97-F723-E73E-8628-FE7AFD28C7D8}"/>
            </a:ext>
          </a:extLst>
        </cdr:cNvPr>
        <cdr:cNvSpPr txBox="1"/>
      </cdr:nvSpPr>
      <cdr:spPr>
        <a:xfrm xmlns:a="http://schemas.openxmlformats.org/drawingml/2006/main">
          <a:off x="2565400" y="12700"/>
          <a:ext cx="761999" cy="1905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Units</a:t>
          </a:r>
        </a:p>
      </cdr:txBody>
    </cdr:sp>
  </cdr:relSizeAnchor>
  <cdr:relSizeAnchor xmlns:cdr="http://schemas.openxmlformats.org/drawingml/2006/chartDrawing">
    <cdr:from>
      <cdr:x>0.87425</cdr:x>
      <cdr:y>0.26457</cdr:y>
    </cdr:from>
    <cdr:to>
      <cdr:x>0.97605</cdr:x>
      <cdr:y>0.35426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CC298E87-B66F-CA19-63E9-3AC4395CA9BD}"/>
            </a:ext>
          </a:extLst>
        </cdr:cNvPr>
        <cdr:cNvSpPr txBox="1"/>
      </cdr:nvSpPr>
      <cdr:spPr>
        <a:xfrm xmlns:a="http://schemas.openxmlformats.org/drawingml/2006/main">
          <a:off x="5562600" y="749300"/>
          <a:ext cx="647700" cy="2540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</a:rPr>
            <a:t>Product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0.43643</cdr:x>
      <cdr:y>0.01053</cdr:y>
    </cdr:from>
    <cdr:to>
      <cdr:x>0.5366</cdr:x>
      <cdr:y>0.05528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767E0F-6708-E1C4-1DE8-A8B1873791FE}"/>
            </a:ext>
          </a:extLst>
        </cdr:cNvPr>
        <cdr:cNvSpPr txBox="1"/>
      </cdr:nvSpPr>
      <cdr:spPr>
        <a:xfrm xmlns:a="http://schemas.openxmlformats.org/drawingml/2006/main">
          <a:off x="2824192" y="59070"/>
          <a:ext cx="648224" cy="2510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400" kern="1200"/>
            <a:t>Units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952500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1B064-13EC-A5A4-5B77-063B125B7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12700</xdr:rowOff>
    </xdr:from>
    <xdr:to>
      <xdr:col>14</xdr:col>
      <xdr:colOff>12700</xdr:colOff>
      <xdr:row>26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920C9-DEE8-7377-05F8-D73EB8B7B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1143000</xdr:colOff>
      <xdr:row>12</xdr:row>
      <xdr:rowOff>12700</xdr:rowOff>
    </xdr:from>
    <xdr:ext cx="695455" cy="2032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989E97-F723-E73E-8628-FE7AFD28C7D8}"/>
            </a:ext>
          </a:extLst>
        </xdr:cNvPr>
        <xdr:cNvSpPr txBox="1"/>
      </xdr:nvSpPr>
      <xdr:spPr>
        <a:xfrm>
          <a:off x="10617200" y="2298700"/>
          <a:ext cx="695455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Units</a:t>
          </a:r>
        </a:p>
      </xdr:txBody>
    </xdr:sp>
    <xdr:clientData/>
  </xdr:one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0.446</cdr:x>
      <cdr:y>0</cdr:y>
    </cdr:from>
    <cdr:to>
      <cdr:x>0.578</cdr:x>
      <cdr:y>0.08036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72D54C3-6BEC-9C84-F500-B1090595B705}"/>
            </a:ext>
          </a:extLst>
        </cdr:cNvPr>
        <cdr:cNvSpPr txBox="1"/>
      </cdr:nvSpPr>
      <cdr:spPr>
        <a:xfrm xmlns:a="http://schemas.openxmlformats.org/drawingml/2006/main">
          <a:off x="2832100" y="0"/>
          <a:ext cx="8382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Revenue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15</xdr:row>
      <xdr:rowOff>59069</xdr:rowOff>
    </xdr:from>
    <xdr:to>
      <xdr:col>5</xdr:col>
      <xdr:colOff>29536</xdr:colOff>
      <xdr:row>44</xdr:row>
      <xdr:rowOff>6889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F9875-55FE-6B2D-13AA-DBA673615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12701</xdr:colOff>
      <xdr:row>14</xdr:row>
      <xdr:rowOff>162442</xdr:rowOff>
    </xdr:from>
    <xdr:to>
      <xdr:col>12</xdr:col>
      <xdr:colOff>15679</xdr:colOff>
      <xdr:row>44</xdr:row>
      <xdr:rowOff>12701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978FCA-4C23-CC6E-B2CF-ED951C9BD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1122326</xdr:colOff>
      <xdr:row>26</xdr:row>
      <xdr:rowOff>88604</xdr:rowOff>
    </xdr:from>
    <xdr:ext cx="1401703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18C19D-EDD0-EF8C-96AB-CFE2F81654A8}"/>
            </a:ext>
          </a:extLst>
        </xdr:cNvPr>
        <xdr:cNvSpPr txBox="1"/>
      </xdr:nvSpPr>
      <xdr:spPr>
        <a:xfrm>
          <a:off x="13955233" y="5079999"/>
          <a:ext cx="1401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Manufacturer</a:t>
          </a:r>
        </a:p>
      </xdr:txBody>
    </xdr:sp>
    <xdr:clientData/>
  </xdr:one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0.44608</cdr:x>
      <cdr:y>0.00665</cdr:y>
    </cdr:from>
    <cdr:to>
      <cdr:x>0.56618</cdr:x>
      <cdr:y>0.06233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EBF06CE-4803-816D-194F-A926A904F391}"/>
            </a:ext>
          </a:extLst>
        </cdr:cNvPr>
        <cdr:cNvSpPr txBox="1"/>
      </cdr:nvSpPr>
      <cdr:spPr>
        <a:xfrm xmlns:a="http://schemas.openxmlformats.org/drawingml/2006/main">
          <a:off x="2853580" y="37473"/>
          <a:ext cx="768272" cy="313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kern="1200"/>
            <a:t>Revenue</a:t>
          </a:r>
        </a:p>
      </cdr:txBody>
    </cdr:sp>
  </cdr:relSizeAnchor>
  <cdr:relSizeAnchor xmlns:cdr="http://schemas.openxmlformats.org/drawingml/2006/chartDrawing">
    <cdr:from>
      <cdr:x>0.78475</cdr:x>
      <cdr:y>0.36951</cdr:y>
    </cdr:from>
    <cdr:to>
      <cdr:x>0.97309</cdr:x>
      <cdr:y>0.4311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918C19D-EDD0-EF8C-96AB-CFE2F81654A8}"/>
            </a:ext>
          </a:extLst>
        </cdr:cNvPr>
        <cdr:cNvSpPr txBox="1"/>
      </cdr:nvSpPr>
      <cdr:spPr>
        <a:xfrm xmlns:a="http://schemas.openxmlformats.org/drawingml/2006/main">
          <a:off x="5168605" y="2037907"/>
          <a:ext cx="1240465" cy="3396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1">
              <a:solidFill>
                <a:schemeClr val="tx1">
                  <a:lumMod val="65000"/>
                  <a:lumOff val="35000"/>
                </a:schemeClr>
              </a:solidFill>
            </a:rPr>
            <a:t>Manufacturer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0.43643</cdr:x>
      <cdr:y>0.01053</cdr:y>
    </cdr:from>
    <cdr:to>
      <cdr:x>0.5366</cdr:x>
      <cdr:y>0.05528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767E0F-6708-E1C4-1DE8-A8B1873791FE}"/>
            </a:ext>
          </a:extLst>
        </cdr:cNvPr>
        <cdr:cNvSpPr txBox="1"/>
      </cdr:nvSpPr>
      <cdr:spPr>
        <a:xfrm xmlns:a="http://schemas.openxmlformats.org/drawingml/2006/main">
          <a:off x="2824192" y="59070"/>
          <a:ext cx="648224" cy="2510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400" kern="1200"/>
            <a:t>Units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3175000</xdr:colOff>
      <xdr:row>16</xdr:row>
      <xdr:rowOff>76200</xdr:rowOff>
    </xdr:from>
    <xdr:to>
      <xdr:col>5</xdr:col>
      <xdr:colOff>76200</xdr:colOff>
      <xdr:row>30</xdr:row>
      <xdr:rowOff>152400</xdr:rowOff>
    </xdr:to>
    <xdr:graphicFrame macro="">
      <xdr:nvGraphicFramePr>
        <xdr:cNvPr id="2" name="Chart 1" descr="Chart type: Line. 'Units Growth', 'Revenue Growth' by 'Comparison'&#10;&#10;Description automatically generated">
          <a:extLst>
            <a:ext uri="{FF2B5EF4-FFF2-40B4-BE49-F238E27FC236}">
              <a16:creationId xmlns:a16="http://schemas.microsoft.com/office/drawing/2014/main" id="{96EE06B9-490B-407C-8BCF-1AD6D6B10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800100</xdr:colOff>
      <xdr:row>10</xdr:row>
      <xdr:rowOff>38100</xdr:rowOff>
    </xdr:from>
    <xdr:to>
      <xdr:col>14</xdr:col>
      <xdr:colOff>584200</xdr:colOff>
      <xdr:row>35</xdr:row>
      <xdr:rowOff>177800</xdr:rowOff>
    </xdr:to>
    <xdr:graphicFrame macro="">
      <xdr:nvGraphicFramePr>
        <xdr:cNvPr id="3" name="Chart 2" descr="Chart type: Clustered Bar. 'Units Growth', 'Revenue Growth' by 'Comparison'&#10;&#10;Description automatically generated">
          <a:extLst>
            <a:ext uri="{FF2B5EF4-FFF2-40B4-BE49-F238E27FC236}">
              <a16:creationId xmlns:a16="http://schemas.microsoft.com/office/drawing/2014/main" id="{E7A912DE-7A52-F77C-A1C0-1716D0021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806450</xdr:colOff>
      <xdr:row>22</xdr:row>
      <xdr:rowOff>120650</xdr:rowOff>
    </xdr:from>
    <xdr:to>
      <xdr:col>10</xdr:col>
      <xdr:colOff>425450</xdr:colOff>
      <xdr:row>37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C6D403-283B-7AC2-1E0C-6DE28C48D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17</xdr:col>
      <xdr:colOff>444500</xdr:colOff>
      <xdr:row>37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D5204A-3291-3840-90D3-C4E467139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10</xdr:row>
      <xdr:rowOff>63500</xdr:rowOff>
    </xdr:from>
    <xdr:to>
      <xdr:col>14</xdr:col>
      <xdr:colOff>622300</xdr:colOff>
      <xdr:row>24</xdr:row>
      <xdr:rowOff>114300</xdr:rowOff>
    </xdr:to>
    <xdr:graphicFrame macro="">
      <xdr:nvGraphicFramePr>
        <xdr:cNvPr id="5" name="Chart 4" descr="Chart type: Pie. '2024 Market Share (Units)'&#10;&#10;Description automatically generated">
          <a:extLst>
            <a:ext uri="{FF2B5EF4-FFF2-40B4-BE49-F238E27FC236}">
              <a16:creationId xmlns:a16="http://schemas.microsoft.com/office/drawing/2014/main" id="{326A3600-B10E-6B84-D365-F378A47D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25400</xdr:colOff>
      <xdr:row>10</xdr:row>
      <xdr:rowOff>88900</xdr:rowOff>
    </xdr:from>
    <xdr:to>
      <xdr:col>20</xdr:col>
      <xdr:colOff>469900</xdr:colOff>
      <xdr:row>24</xdr:row>
      <xdr:rowOff>139700</xdr:rowOff>
    </xdr:to>
    <xdr:graphicFrame macro="">
      <xdr:nvGraphicFramePr>
        <xdr:cNvPr id="6" name="Chart 5" descr="Chart type: Pie. '2024 Market Share(Revenue)'&#10;&#10;Description automatically generated">
          <a:extLst>
            <a:ext uri="{FF2B5EF4-FFF2-40B4-BE49-F238E27FC236}">
              <a16:creationId xmlns:a16="http://schemas.microsoft.com/office/drawing/2014/main" id="{073C98BD-77C6-5D28-9B4C-2228AFD6A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37646</xdr:colOff>
      <xdr:row>25</xdr:row>
      <xdr:rowOff>185511</xdr:rowOff>
    </xdr:from>
    <xdr:to>
      <xdr:col>20</xdr:col>
      <xdr:colOff>467178</xdr:colOff>
      <xdr:row>40</xdr:row>
      <xdr:rowOff>24492</xdr:rowOff>
    </xdr:to>
    <xdr:graphicFrame macro="">
      <xdr:nvGraphicFramePr>
        <xdr:cNvPr id="7" name="Chart 6" descr="Chart type: Clustered Bar. '2024 Market Share(Revenue)'&#10;&#10;Description automatically generated">
          <a:extLst>
            <a:ext uri="{FF2B5EF4-FFF2-40B4-BE49-F238E27FC236}">
              <a16:creationId xmlns:a16="http://schemas.microsoft.com/office/drawing/2014/main" id="{DBCA1CF4-C55C-9192-E0ED-09093F6BD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241755</xdr:colOff>
      <xdr:row>25</xdr:row>
      <xdr:rowOff>185511</xdr:rowOff>
    </xdr:from>
    <xdr:to>
      <xdr:col>14</xdr:col>
      <xdr:colOff>671287</xdr:colOff>
      <xdr:row>40</xdr:row>
      <xdr:rowOff>25854</xdr:rowOff>
    </xdr:to>
    <xdr:graphicFrame macro="">
      <xdr:nvGraphicFramePr>
        <xdr:cNvPr id="8" name="Chart 7" descr="Chart type: Clustered Bar. '2024 Market Share (Units)'&#10;&#10;Description automatically generated">
          <a:extLst>
            <a:ext uri="{FF2B5EF4-FFF2-40B4-BE49-F238E27FC236}">
              <a16:creationId xmlns:a16="http://schemas.microsoft.com/office/drawing/2014/main" id="{F79B74B4-9B93-CBE9-E836-41C7C7CA9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10</xdr:row>
      <xdr:rowOff>165100</xdr:rowOff>
    </xdr:from>
    <xdr:to>
      <xdr:col>5</xdr:col>
      <xdr:colOff>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CA4EA-D5B1-AA63-B210-67A87ED62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11</xdr:row>
      <xdr:rowOff>0</xdr:rowOff>
    </xdr:from>
    <xdr:to>
      <xdr:col>12</xdr:col>
      <xdr:colOff>0</xdr:colOff>
      <xdr:row>25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4664C1-06CF-CD23-4A2F-603C94E8D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13</xdr:row>
      <xdr:rowOff>76200</xdr:rowOff>
    </xdr:from>
    <xdr:to>
      <xdr:col>5</xdr:col>
      <xdr:colOff>457200</xdr:colOff>
      <xdr:row>27</xdr:row>
      <xdr:rowOff>152400</xdr:rowOff>
    </xdr:to>
    <xdr:graphicFrame macro="">
      <xdr:nvGraphicFramePr>
        <xdr:cNvPr id="2" name="Chart 1" descr="Chart type: Clustered Bar. '2024 Market Share (Units)'&#10;&#10;Description automatically generated">
          <a:extLst>
            <a:ext uri="{FF2B5EF4-FFF2-40B4-BE49-F238E27FC236}">
              <a16:creationId xmlns:a16="http://schemas.microsoft.com/office/drawing/2014/main" id="{6492FF21-34D2-93F0-A6EE-099C8B967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622300</xdr:colOff>
      <xdr:row>13</xdr:row>
      <xdr:rowOff>88900</xdr:rowOff>
    </xdr:from>
    <xdr:to>
      <xdr:col>9</xdr:col>
      <xdr:colOff>812800</xdr:colOff>
      <xdr:row>27</xdr:row>
      <xdr:rowOff>139700</xdr:rowOff>
    </xdr:to>
    <xdr:graphicFrame macro="">
      <xdr:nvGraphicFramePr>
        <xdr:cNvPr id="3" name="Chart 2" descr="Chart type: Clustered Bar. '2024 Market Share(Revenue)'&#10;&#10;Description automatically generated">
          <a:extLst>
            <a:ext uri="{FF2B5EF4-FFF2-40B4-BE49-F238E27FC236}">
              <a16:creationId xmlns:a16="http://schemas.microsoft.com/office/drawing/2014/main" id="{9C9DF717-C7B7-17C1-F7F7-0373BB63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1689100</xdr:colOff>
      <xdr:row>14</xdr:row>
      <xdr:rowOff>0</xdr:rowOff>
    </xdr:from>
    <xdr:to>
      <xdr:col>21</xdr:col>
      <xdr:colOff>0</xdr:colOff>
      <xdr:row>27</xdr:row>
      <xdr:rowOff>177800</xdr:rowOff>
    </xdr:to>
    <xdr:graphicFrame macro="">
      <xdr:nvGraphicFramePr>
        <xdr:cNvPr id="7" name="Chart 6" descr="Chart type: Clustered Bar. '2024 Market Share(Revenue)'&#10;&#10;Description automatically generated">
          <a:extLst>
            <a:ext uri="{FF2B5EF4-FFF2-40B4-BE49-F238E27FC236}">
              <a16:creationId xmlns:a16="http://schemas.microsoft.com/office/drawing/2014/main" id="{E78F13E0-EB53-5149-8F70-ABB605C9A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533400</xdr:colOff>
      <xdr:row>14</xdr:row>
      <xdr:rowOff>0</xdr:rowOff>
    </xdr:from>
    <xdr:to>
      <xdr:col>16</xdr:col>
      <xdr:colOff>1155700</xdr:colOff>
      <xdr:row>28</xdr:row>
      <xdr:rowOff>12700</xdr:rowOff>
    </xdr:to>
    <xdr:graphicFrame macro="">
      <xdr:nvGraphicFramePr>
        <xdr:cNvPr id="8" name="Chart 7" descr="Chart type: Clustered Bar. '2024 Market Share (Units)'&#10;&#10;Description automatically generated">
          <a:extLst>
            <a:ext uri="{FF2B5EF4-FFF2-40B4-BE49-F238E27FC236}">
              <a16:creationId xmlns:a16="http://schemas.microsoft.com/office/drawing/2014/main" id="{6DB40D45-59FD-324D-BC36-031F8BD61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tha Kshatriya" refreshedDate="45898.659455671295" createdVersion="8" refreshedVersion="8" minRefreshableVersion="3" recordCount="396" xr:uid="{9F80742A-A4F6-2946-8A11-5185FFBA3E8B}">
  <cacheSource type="worksheet">
    <worksheetSource ref="A1:I397" sheet="Transformed Market Data"/>
  </cacheSource>
  <cacheFields count="9">
    <cacheField name="Measure Names" numFmtId="0">
      <sharedItems count="2">
        <s v="Revenue"/>
        <s v="Units"/>
      </sharedItems>
    </cacheField>
    <cacheField name="Product Type" numFmtId="0">
      <sharedItems count="4">
        <s v="Accessories"/>
        <s v="Diagnostic"/>
        <s v="Therapeutic"/>
        <s v="Ultrasound"/>
      </sharedItems>
    </cacheField>
    <cacheField name="Subtype 2" numFmtId="0">
      <sharedItems/>
    </cacheField>
    <cacheField name="Subtype 3" numFmtId="0">
      <sharedItems containsBlank="1"/>
    </cacheField>
    <cacheField name="Energy Modality" numFmtId="0">
      <sharedItems containsBlank="1"/>
    </cacheField>
    <cacheField name="Manufacturer" numFmtId="0">
      <sharedItems count="4">
        <s v="Atria Medical"/>
        <s v="BeneLife Devices"/>
        <s v="JustPulse Medical"/>
        <s v="MediStream Solutions"/>
      </sharedItems>
    </cacheField>
    <cacheField name="Model" numFmtId="0">
      <sharedItems/>
    </cacheField>
    <cacheField name="Year" numFmtId="0">
      <sharedItems containsSemiMixedTypes="0" containsString="0" containsNumber="1" containsInteger="1" minValue="2022" maxValue="2024" count="3">
        <n v="2024"/>
        <n v="2023"/>
        <n v="2022"/>
      </sharedItems>
    </cacheField>
    <cacheField name="Measure Values" numFmtId="3">
      <sharedItems containsSemiMixedTypes="0" containsString="0" containsNumber="1" containsInteger="1" minValue="0" maxValue="382421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tha Kshatriya" refreshedDate="45898.679052546293" createdVersion="8" refreshedVersion="8" minRefreshableVersion="3" recordCount="396" xr:uid="{6B25EAC5-1D19-4F4A-926F-EBED28060CCC}">
  <cacheSource type="worksheet">
    <worksheetSource name="Table1"/>
  </cacheSource>
  <cacheFields count="9">
    <cacheField name="Measure Names" numFmtId="0">
      <sharedItems count="2">
        <s v="Revenue"/>
        <s v="Units"/>
      </sharedItems>
    </cacheField>
    <cacheField name="Product Type" numFmtId="0">
      <sharedItems count="4">
        <s v="Accessories"/>
        <s v="Diagnostic"/>
        <s v="Therapeutic"/>
        <s v="Ultrasound"/>
      </sharedItems>
    </cacheField>
    <cacheField name="Subtype 2" numFmtId="0">
      <sharedItems/>
    </cacheField>
    <cacheField name="Subtype 3" numFmtId="0">
      <sharedItems containsBlank="1"/>
    </cacheField>
    <cacheField name="Energy Modality" numFmtId="0">
      <sharedItems containsBlank="1"/>
    </cacheField>
    <cacheField name="Manufacturer" numFmtId="0">
      <sharedItems count="4">
        <s v="Atria Medical"/>
        <s v="BeneLife Devices"/>
        <s v="JustPulse Medical"/>
        <s v="MediStream Solutions"/>
      </sharedItems>
    </cacheField>
    <cacheField name="Model" numFmtId="0">
      <sharedItems/>
    </cacheField>
    <cacheField name="Year" numFmtId="0">
      <sharedItems containsSemiMixedTypes="0" containsString="0" containsNumber="1" containsInteger="1" minValue="2022" maxValue="2024" count="3">
        <n v="2024"/>
        <n v="2023"/>
        <n v="2022"/>
      </sharedItems>
    </cacheField>
    <cacheField name="Measure Values" numFmtId="3">
      <sharedItems containsSemiMixedTypes="0" containsString="0" containsNumber="1" containsInteger="1" minValue="0" maxValue="382421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  <s v="Reference Patch"/>
    <m/>
    <m/>
    <x v="0"/>
    <s v="EnSite X"/>
    <x v="0"/>
    <n v="79679960"/>
  </r>
  <r>
    <x v="0"/>
    <x v="0"/>
    <s v="Reference Patch"/>
    <m/>
    <m/>
    <x v="0"/>
    <s v="EnSite Precision"/>
    <x v="0"/>
    <n v="11191780"/>
  </r>
  <r>
    <x v="0"/>
    <x v="0"/>
    <s v="Reference Patch"/>
    <m/>
    <m/>
    <x v="0"/>
    <s v="EnSite NavX"/>
    <x v="0"/>
    <n v="223390"/>
  </r>
  <r>
    <x v="0"/>
    <x v="0"/>
    <s v="Reference Patch"/>
    <m/>
    <m/>
    <x v="0"/>
    <s v="EnSite X"/>
    <x v="1"/>
    <n v="51092740"/>
  </r>
  <r>
    <x v="0"/>
    <x v="0"/>
    <s v="Reference Patch"/>
    <m/>
    <m/>
    <x v="0"/>
    <s v="EnSite Precision"/>
    <x v="1"/>
    <n v="24532160"/>
  </r>
  <r>
    <x v="0"/>
    <x v="0"/>
    <s v="Reference Patch"/>
    <m/>
    <m/>
    <x v="0"/>
    <s v="EnSite NavX"/>
    <x v="1"/>
    <n v="204750"/>
  </r>
  <r>
    <x v="0"/>
    <x v="0"/>
    <s v="Reference Patch"/>
    <m/>
    <m/>
    <x v="0"/>
    <s v="EnSite NavX"/>
    <x v="1"/>
    <n v="20550"/>
  </r>
  <r>
    <x v="0"/>
    <x v="0"/>
    <s v="Reference Patch"/>
    <m/>
    <m/>
    <x v="0"/>
    <s v="EnSite X"/>
    <x v="2"/>
    <n v="25250070"/>
  </r>
  <r>
    <x v="0"/>
    <x v="0"/>
    <s v="Reference Patch"/>
    <m/>
    <m/>
    <x v="0"/>
    <s v="EnSite Precision"/>
    <x v="2"/>
    <n v="42594610"/>
  </r>
  <r>
    <x v="0"/>
    <x v="0"/>
    <s v="Reference Patch"/>
    <m/>
    <m/>
    <x v="0"/>
    <s v="EnSite NavX"/>
    <x v="2"/>
    <n v="253740"/>
  </r>
  <r>
    <x v="0"/>
    <x v="0"/>
    <s v="Reference Patch"/>
    <m/>
    <m/>
    <x v="0"/>
    <s v="EnSite NavX"/>
    <x v="2"/>
    <n v="153270"/>
  </r>
  <r>
    <x v="0"/>
    <x v="0"/>
    <s v="Reference Patch"/>
    <m/>
    <m/>
    <x v="1"/>
    <s v="Rhythmia"/>
    <x v="0"/>
    <n v="3810280"/>
  </r>
  <r>
    <x v="0"/>
    <x v="0"/>
    <s v="Reference Patch"/>
    <m/>
    <m/>
    <x v="1"/>
    <s v="Rhythmia"/>
    <x v="1"/>
    <n v="3137830"/>
  </r>
  <r>
    <x v="0"/>
    <x v="0"/>
    <s v="Reference Patch"/>
    <m/>
    <m/>
    <x v="1"/>
    <s v="Rhythmia"/>
    <x v="2"/>
    <n v="2876790"/>
  </r>
  <r>
    <x v="0"/>
    <x v="0"/>
    <s v="Reference Patch"/>
    <m/>
    <m/>
    <x v="2"/>
    <s v="Carto 3"/>
    <x v="0"/>
    <n v="75274380"/>
  </r>
  <r>
    <x v="0"/>
    <x v="0"/>
    <s v="Reference Patch"/>
    <m/>
    <m/>
    <x v="2"/>
    <s v="Carto 3"/>
    <x v="1"/>
    <n v="63374780"/>
  </r>
  <r>
    <x v="0"/>
    <x v="0"/>
    <s v="Reference Patch"/>
    <m/>
    <m/>
    <x v="2"/>
    <s v="Carto 3"/>
    <x v="2"/>
    <n v="53121150"/>
  </r>
  <r>
    <x v="0"/>
    <x v="0"/>
    <s v="Reference Patch"/>
    <m/>
    <m/>
    <x v="3"/>
    <s v="Affera"/>
    <x v="0"/>
    <n v="386840"/>
  </r>
  <r>
    <x v="0"/>
    <x v="1"/>
    <s v="Advanced"/>
    <s v="Advanced/3D mapping"/>
    <m/>
    <x v="0"/>
    <s v="Advisor HD Grid X"/>
    <x v="0"/>
    <n v="313670"/>
  </r>
  <r>
    <x v="0"/>
    <x v="1"/>
    <s v="Advanced"/>
    <s v="Advanced/3D mapping"/>
    <m/>
    <x v="0"/>
    <s v="Advisor HD"/>
    <x v="0"/>
    <n v="77878860"/>
  </r>
  <r>
    <x v="0"/>
    <x v="1"/>
    <s v="Advanced"/>
    <s v="Advanced/3D mapping"/>
    <m/>
    <x v="0"/>
    <s v="Livewire"/>
    <x v="1"/>
    <n v="160"/>
  </r>
  <r>
    <x v="0"/>
    <x v="1"/>
    <s v="Advanced"/>
    <s v="Advanced/3D mapping"/>
    <m/>
    <x v="0"/>
    <s v="FIRMap"/>
    <x v="1"/>
    <n v="79340"/>
  </r>
  <r>
    <x v="0"/>
    <x v="1"/>
    <s v="Advanced"/>
    <s v="Advanced/3D mapping"/>
    <m/>
    <x v="0"/>
    <s v="Advisor HD"/>
    <x v="1"/>
    <n v="54928190"/>
  </r>
  <r>
    <x v="0"/>
    <x v="1"/>
    <s v="Advanced"/>
    <s v="Advanced/3D mapping"/>
    <m/>
    <x v="0"/>
    <s v="Livewire"/>
    <x v="2"/>
    <n v="120"/>
  </r>
  <r>
    <x v="0"/>
    <x v="1"/>
    <s v="Advanced"/>
    <s v="Advanced/3D mapping"/>
    <m/>
    <x v="0"/>
    <s v="FIRMap"/>
    <x v="2"/>
    <n v="271920"/>
  </r>
  <r>
    <x v="0"/>
    <x v="1"/>
    <s v="Advanced"/>
    <s v="Advanced/3D mapping"/>
    <m/>
    <x v="0"/>
    <s v="Advisor HD"/>
    <x v="2"/>
    <n v="46333200"/>
  </r>
  <r>
    <x v="0"/>
    <x v="1"/>
    <s v="Advanced"/>
    <s v="Advanced/3D mapping"/>
    <m/>
    <x v="1"/>
    <s v="IntellaMap Orion"/>
    <x v="0"/>
    <n v="10124540"/>
  </r>
  <r>
    <x v="0"/>
    <x v="1"/>
    <s v="Advanced"/>
    <s v="Advanced/3D mapping"/>
    <m/>
    <x v="1"/>
    <s v="IntellaMap Orion"/>
    <x v="1"/>
    <n v="10072060"/>
  </r>
  <r>
    <x v="0"/>
    <x v="1"/>
    <s v="Advanced"/>
    <s v="Advanced/3D mapping"/>
    <m/>
    <x v="1"/>
    <s v="IntellaMap Orion"/>
    <x v="2"/>
    <n v="8951230"/>
  </r>
  <r>
    <x v="0"/>
    <x v="1"/>
    <s v="Advanced"/>
    <s v="Advanced/3D mapping"/>
    <m/>
    <x v="1"/>
    <s v="CONSTELLATION"/>
    <x v="2"/>
    <n v="67260"/>
  </r>
  <r>
    <x v="0"/>
    <x v="1"/>
    <s v="Advanced"/>
    <s v="Advanced/3D mapping"/>
    <m/>
    <x v="2"/>
    <s v="Pentaray NAV eco"/>
    <x v="0"/>
    <n v="47255160"/>
  </r>
  <r>
    <x v="0"/>
    <x v="1"/>
    <s v="Advanced"/>
    <s v="Advanced/3D mapping"/>
    <m/>
    <x v="2"/>
    <s v="Optrell"/>
    <x v="0"/>
    <n v="20151810"/>
  </r>
  <r>
    <x v="0"/>
    <x v="1"/>
    <s v="Advanced"/>
    <s v="Advanced/3D mapping"/>
    <m/>
    <x v="2"/>
    <s v="OCTARAY"/>
    <x v="0"/>
    <n v="178624450"/>
  </r>
  <r>
    <x v="0"/>
    <x v="1"/>
    <s v="Advanced"/>
    <s v="Advanced/3D mapping"/>
    <m/>
    <x v="2"/>
    <s v="DECANAV"/>
    <x v="0"/>
    <n v="52923000"/>
  </r>
  <r>
    <x v="0"/>
    <x v="1"/>
    <s v="Advanced"/>
    <s v="Advanced/3D mapping"/>
    <m/>
    <x v="2"/>
    <s v="Pentaray NAV eco"/>
    <x v="1"/>
    <n v="60475060"/>
  </r>
  <r>
    <x v="0"/>
    <x v="1"/>
    <s v="Advanced"/>
    <s v="Advanced/3D mapping"/>
    <m/>
    <x v="2"/>
    <s v="Optrell"/>
    <x v="1"/>
    <n v="14129430"/>
  </r>
  <r>
    <x v="0"/>
    <x v="1"/>
    <s v="Advanced"/>
    <s v="Advanced/3D mapping"/>
    <m/>
    <x v="2"/>
    <s v="OCTARAY"/>
    <x v="1"/>
    <n v="130810390"/>
  </r>
  <r>
    <x v="0"/>
    <x v="1"/>
    <s v="Advanced"/>
    <s v="Advanced/3D mapping"/>
    <m/>
    <x v="2"/>
    <s v="DECANAV"/>
    <x v="1"/>
    <n v="43951590"/>
  </r>
  <r>
    <x v="0"/>
    <x v="1"/>
    <s v="Advanced"/>
    <s v="Advanced/3D mapping"/>
    <m/>
    <x v="2"/>
    <s v="Pentaray NAV eco"/>
    <x v="2"/>
    <n v="105124720"/>
  </r>
  <r>
    <x v="0"/>
    <x v="1"/>
    <s v="Advanced"/>
    <s v="Advanced/3D mapping"/>
    <m/>
    <x v="2"/>
    <s v="Optrell"/>
    <x v="2"/>
    <n v="732200"/>
  </r>
  <r>
    <x v="0"/>
    <x v="1"/>
    <s v="Advanced"/>
    <s v="Advanced/3D mapping"/>
    <m/>
    <x v="2"/>
    <s v="OCTARAY"/>
    <x v="2"/>
    <n v="40335290"/>
  </r>
  <r>
    <x v="0"/>
    <x v="1"/>
    <s v="Advanced"/>
    <s v="Advanced/3D mapping"/>
    <m/>
    <x v="2"/>
    <s v="DECANAV"/>
    <x v="2"/>
    <n v="33955890"/>
  </r>
  <r>
    <x v="0"/>
    <x v="1"/>
    <s v="Advanced"/>
    <s v="Loop"/>
    <m/>
    <x v="0"/>
    <s v="Reflexion Spiral"/>
    <x v="0"/>
    <n v="197850"/>
  </r>
  <r>
    <x v="0"/>
    <x v="1"/>
    <s v="Advanced"/>
    <s v="Loop"/>
    <m/>
    <x v="0"/>
    <s v="Reflexion HD"/>
    <x v="0"/>
    <n v="3890"/>
  </r>
  <r>
    <x v="0"/>
    <x v="1"/>
    <s v="Advanced"/>
    <s v="Loop"/>
    <m/>
    <x v="0"/>
    <s v="Afocus"/>
    <x v="0"/>
    <n v="1018350"/>
  </r>
  <r>
    <x v="0"/>
    <x v="1"/>
    <s v="Advanced"/>
    <s v="Loop"/>
    <m/>
    <x v="0"/>
    <s v="Advisor VL"/>
    <x v="0"/>
    <n v="2649850"/>
  </r>
  <r>
    <x v="0"/>
    <x v="1"/>
    <s v="Advanced"/>
    <s v="Loop"/>
    <m/>
    <x v="0"/>
    <s v="Advisor FL"/>
    <x v="0"/>
    <n v="1534110"/>
  </r>
  <r>
    <x v="0"/>
    <x v="1"/>
    <s v="Advanced"/>
    <s v="Loop"/>
    <m/>
    <x v="0"/>
    <s v="Reflexion Spiral"/>
    <x v="1"/>
    <n v="436170"/>
  </r>
  <r>
    <x v="0"/>
    <x v="1"/>
    <s v="Advanced"/>
    <s v="Loop"/>
    <m/>
    <x v="0"/>
    <s v="Reflexion HD"/>
    <x v="1"/>
    <n v="7950"/>
  </r>
  <r>
    <x v="0"/>
    <x v="1"/>
    <s v="Advanced"/>
    <s v="Loop"/>
    <m/>
    <x v="0"/>
    <s v="Optima"/>
    <x v="1"/>
    <n v="34270"/>
  </r>
  <r>
    <x v="0"/>
    <x v="1"/>
    <s v="Advanced"/>
    <s v="Loop"/>
    <m/>
    <x v="0"/>
    <s v="Afocus"/>
    <x v="1"/>
    <n v="375670"/>
  </r>
  <r>
    <x v="0"/>
    <x v="1"/>
    <s v="Advanced"/>
    <s v="Loop"/>
    <m/>
    <x v="0"/>
    <s v="Advisor VL"/>
    <x v="1"/>
    <n v="2087000"/>
  </r>
  <r>
    <x v="0"/>
    <x v="1"/>
    <s v="Advanced"/>
    <s v="Loop"/>
    <m/>
    <x v="0"/>
    <s v="Advisor FL"/>
    <x v="1"/>
    <n v="720960"/>
  </r>
  <r>
    <x v="0"/>
    <x v="1"/>
    <s v="Advanced"/>
    <s v="Loop"/>
    <m/>
    <x v="0"/>
    <s v="Reflexion Spiral"/>
    <x v="2"/>
    <n v="1243120"/>
  </r>
  <r>
    <x v="0"/>
    <x v="1"/>
    <s v="Advanced"/>
    <s v="Loop"/>
    <m/>
    <x v="0"/>
    <s v="Reflexion HD"/>
    <x v="2"/>
    <n v="91800"/>
  </r>
  <r>
    <x v="0"/>
    <x v="1"/>
    <s v="Advanced"/>
    <s v="Loop"/>
    <m/>
    <x v="0"/>
    <s v="Optima"/>
    <x v="2"/>
    <n v="148000"/>
  </r>
  <r>
    <x v="0"/>
    <x v="1"/>
    <s v="Advanced"/>
    <s v="Loop"/>
    <m/>
    <x v="0"/>
    <s v="Afocus"/>
    <x v="2"/>
    <n v="625810"/>
  </r>
  <r>
    <x v="0"/>
    <x v="1"/>
    <s v="Advanced"/>
    <s v="Loop"/>
    <m/>
    <x v="0"/>
    <s v="Advisor VL"/>
    <x v="2"/>
    <n v="1774430"/>
  </r>
  <r>
    <x v="0"/>
    <x v="1"/>
    <s v="Advanced"/>
    <s v="Loop"/>
    <m/>
    <x v="0"/>
    <s v="Advisor FL"/>
    <x v="2"/>
    <n v="749270"/>
  </r>
  <r>
    <x v="0"/>
    <x v="1"/>
    <s v="Advanced"/>
    <s v="Loop"/>
    <m/>
    <x v="1"/>
    <s v="POLARMAP"/>
    <x v="0"/>
    <n v="1294850"/>
  </r>
  <r>
    <x v="0"/>
    <x v="1"/>
    <s v="Advanced"/>
    <s v="Loop"/>
    <m/>
    <x v="1"/>
    <s v="POLARMAP"/>
    <x v="1"/>
    <n v="1207150"/>
  </r>
  <r>
    <x v="0"/>
    <x v="1"/>
    <s v="Advanced"/>
    <s v="Loop"/>
    <m/>
    <x v="1"/>
    <s v="POLARMAP"/>
    <x v="2"/>
    <n v="8550"/>
  </r>
  <r>
    <x v="0"/>
    <x v="1"/>
    <s v="Advanced"/>
    <s v="Loop"/>
    <m/>
    <x v="2"/>
    <s v="Lasso Nav eco EO"/>
    <x v="0"/>
    <n v="381890"/>
  </r>
  <r>
    <x v="0"/>
    <x v="1"/>
    <s v="Advanced"/>
    <s v="Loop"/>
    <m/>
    <x v="2"/>
    <s v="Lasso Nav eco"/>
    <x v="0"/>
    <n v="738460"/>
  </r>
  <r>
    <x v="0"/>
    <x v="1"/>
    <s v="Advanced"/>
    <s v="Loop"/>
    <m/>
    <x v="2"/>
    <s v="Lasso NAV"/>
    <x v="0"/>
    <n v="537890"/>
  </r>
  <r>
    <x v="0"/>
    <x v="1"/>
    <s v="Advanced"/>
    <s v="Loop"/>
    <m/>
    <x v="2"/>
    <s v="Lasso 2515 Variable Circular"/>
    <x v="0"/>
    <n v="178670"/>
  </r>
  <r>
    <x v="0"/>
    <x v="1"/>
    <s v="Advanced"/>
    <s v="Loop"/>
    <m/>
    <x v="2"/>
    <s v="Lasso 2515 Nav eco Variable"/>
    <x v="0"/>
    <n v="5857780"/>
  </r>
  <r>
    <x v="0"/>
    <x v="1"/>
    <s v="Advanced"/>
    <s v="Loop"/>
    <m/>
    <x v="2"/>
    <s v="Lasso"/>
    <x v="0"/>
    <n v="67150"/>
  </r>
  <r>
    <x v="0"/>
    <x v="1"/>
    <s v="Advanced"/>
    <s v="Loop"/>
    <m/>
    <x v="2"/>
    <s v="Lasso Nav eco EO"/>
    <x v="1"/>
    <n v="434030"/>
  </r>
  <r>
    <x v="0"/>
    <x v="1"/>
    <s v="Advanced"/>
    <s v="Loop"/>
    <m/>
    <x v="2"/>
    <s v="Lasso Nav eco"/>
    <x v="1"/>
    <n v="1022730"/>
  </r>
  <r>
    <x v="0"/>
    <x v="1"/>
    <s v="Advanced"/>
    <s v="Loop"/>
    <m/>
    <x v="2"/>
    <s v="Lasso NAV"/>
    <x v="1"/>
    <n v="526140"/>
  </r>
  <r>
    <x v="0"/>
    <x v="1"/>
    <s v="Advanced"/>
    <s v="Loop"/>
    <m/>
    <x v="2"/>
    <s v="Lasso 2515 Variable Circular"/>
    <x v="1"/>
    <n v="435520"/>
  </r>
  <r>
    <x v="0"/>
    <x v="1"/>
    <s v="Advanced"/>
    <s v="Loop"/>
    <m/>
    <x v="2"/>
    <s v="Lasso 2515 Nav eco Variable"/>
    <x v="1"/>
    <n v="7143870"/>
  </r>
  <r>
    <x v="0"/>
    <x v="1"/>
    <s v="Advanced"/>
    <s v="Loop"/>
    <m/>
    <x v="2"/>
    <s v="Lasso"/>
    <x v="1"/>
    <n v="117290"/>
  </r>
  <r>
    <x v="0"/>
    <x v="1"/>
    <s v="Advanced"/>
    <s v="Loop"/>
    <m/>
    <x v="2"/>
    <s v="Lasso Nav eco EO"/>
    <x v="2"/>
    <n v="355450"/>
  </r>
  <r>
    <x v="0"/>
    <x v="1"/>
    <s v="Advanced"/>
    <s v="Loop"/>
    <m/>
    <x v="2"/>
    <s v="Lasso Nav eco"/>
    <x v="2"/>
    <n v="1189790"/>
  </r>
  <r>
    <x v="0"/>
    <x v="1"/>
    <s v="Advanced"/>
    <s v="Loop"/>
    <m/>
    <x v="2"/>
    <s v="Lasso NAV"/>
    <x v="2"/>
    <n v="59250"/>
  </r>
  <r>
    <x v="0"/>
    <x v="1"/>
    <s v="Advanced"/>
    <s v="Loop"/>
    <m/>
    <x v="2"/>
    <s v="Lasso 2515 Variable Circular"/>
    <x v="2"/>
    <n v="590750"/>
  </r>
  <r>
    <x v="0"/>
    <x v="1"/>
    <s v="Advanced"/>
    <s v="Loop"/>
    <m/>
    <x v="2"/>
    <s v="Lasso 2515 Nav eco Variable"/>
    <x v="2"/>
    <n v="10004540"/>
  </r>
  <r>
    <x v="0"/>
    <x v="1"/>
    <s v="Advanced"/>
    <s v="Loop"/>
    <m/>
    <x v="2"/>
    <s v="Lasso"/>
    <x v="2"/>
    <n v="125020"/>
  </r>
  <r>
    <x v="0"/>
    <x v="1"/>
    <s v="Advanced"/>
    <s v="Loop"/>
    <m/>
    <x v="3"/>
    <s v="Achieve"/>
    <x v="0"/>
    <n v="13239870"/>
  </r>
  <r>
    <x v="0"/>
    <x v="1"/>
    <s v="Advanced"/>
    <s v="Loop"/>
    <m/>
    <x v="3"/>
    <s v="Achieve"/>
    <x v="1"/>
    <n v="23162650"/>
  </r>
  <r>
    <x v="0"/>
    <x v="1"/>
    <s v="Advanced"/>
    <s v="Loop"/>
    <m/>
    <x v="3"/>
    <s v="Achieve"/>
    <x v="2"/>
    <n v="22554970"/>
  </r>
  <r>
    <x v="0"/>
    <x v="2"/>
    <s v="Advanced"/>
    <m/>
    <s v="Cryo"/>
    <x v="1"/>
    <s v="POLARx Fit ST"/>
    <x v="0"/>
    <n v="6932970"/>
  </r>
  <r>
    <x v="0"/>
    <x v="2"/>
    <s v="Advanced"/>
    <m/>
    <s v="Cryo"/>
    <x v="1"/>
    <s v="POLARx Fit LT"/>
    <x v="0"/>
    <n v="464940"/>
  </r>
  <r>
    <x v="0"/>
    <x v="2"/>
    <s v="Advanced"/>
    <m/>
    <s v="Cryo"/>
    <x v="1"/>
    <s v="POLARx Fit ST"/>
    <x v="1"/>
    <n v="5616740"/>
  </r>
  <r>
    <x v="0"/>
    <x v="2"/>
    <s v="Advanced"/>
    <m/>
    <s v="Cryo"/>
    <x v="1"/>
    <s v="POLARx Fit LT"/>
    <x v="1"/>
    <n v="1022390"/>
  </r>
  <r>
    <x v="0"/>
    <x v="2"/>
    <s v="Advanced"/>
    <m/>
    <s v="Cryo"/>
    <x v="1"/>
    <s v="POLARx Fit ST"/>
    <x v="2"/>
    <n v="31890"/>
  </r>
  <r>
    <x v="0"/>
    <x v="2"/>
    <s v="Advanced"/>
    <m/>
    <s v="Cryo"/>
    <x v="1"/>
    <s v="POLARx Fit LT"/>
    <x v="2"/>
    <n v="90170"/>
  </r>
  <r>
    <x v="0"/>
    <x v="2"/>
    <s v="Advanced"/>
    <m/>
    <s v="Cryo"/>
    <x v="3"/>
    <s v="Freezor Xtra"/>
    <x v="0"/>
    <n v="2827190"/>
  </r>
  <r>
    <x v="0"/>
    <x v="2"/>
    <s v="Advanced"/>
    <m/>
    <s v="Cryo"/>
    <x v="3"/>
    <s v="Freezor Max"/>
    <x v="0"/>
    <n v="926850"/>
  </r>
  <r>
    <x v="0"/>
    <x v="2"/>
    <s v="Advanced"/>
    <m/>
    <s v="Cryo"/>
    <x v="3"/>
    <s v="Freezor"/>
    <x v="0"/>
    <n v="473000"/>
  </r>
  <r>
    <x v="0"/>
    <x v="2"/>
    <s v="Advanced"/>
    <m/>
    <s v="Cryo"/>
    <x v="3"/>
    <s v="Arctic Front Advance Pro"/>
    <x v="0"/>
    <n v="66606150"/>
  </r>
  <r>
    <x v="0"/>
    <x v="2"/>
    <s v="Advanced"/>
    <m/>
    <s v="Cryo"/>
    <x v="3"/>
    <s v="Arctic Front Advance"/>
    <x v="0"/>
    <n v="10448680"/>
  </r>
  <r>
    <x v="0"/>
    <x v="2"/>
    <s v="Advanced"/>
    <m/>
    <s v="Cryo"/>
    <x v="3"/>
    <s v="Freezor Xtra"/>
    <x v="1"/>
    <n v="2777550"/>
  </r>
  <r>
    <x v="0"/>
    <x v="2"/>
    <s v="Advanced"/>
    <m/>
    <s v="Cryo"/>
    <x v="3"/>
    <s v="Freezor Max"/>
    <x v="1"/>
    <n v="942340"/>
  </r>
  <r>
    <x v="0"/>
    <x v="2"/>
    <s v="Advanced"/>
    <m/>
    <s v="Cryo"/>
    <x v="3"/>
    <s v="Freezor"/>
    <x v="1"/>
    <n v="929310"/>
  </r>
  <r>
    <x v="0"/>
    <x v="2"/>
    <s v="Advanced"/>
    <m/>
    <s v="Cryo"/>
    <x v="3"/>
    <s v="Arctic Front Advance Pro"/>
    <x v="1"/>
    <n v="108465210"/>
  </r>
  <r>
    <x v="0"/>
    <x v="2"/>
    <s v="Advanced"/>
    <m/>
    <s v="Cryo"/>
    <x v="3"/>
    <s v="Arctic Front Advance"/>
    <x v="1"/>
    <n v="20441760"/>
  </r>
  <r>
    <x v="0"/>
    <x v="2"/>
    <s v="Advanced"/>
    <m/>
    <s v="Cryo"/>
    <x v="3"/>
    <s v="Arctic Front"/>
    <x v="1"/>
    <n v="19720"/>
  </r>
  <r>
    <x v="0"/>
    <x v="2"/>
    <s v="Advanced"/>
    <m/>
    <s v="Cryo"/>
    <x v="3"/>
    <s v="Freezor Xtra"/>
    <x v="2"/>
    <n v="723000"/>
  </r>
  <r>
    <x v="0"/>
    <x v="2"/>
    <s v="Advanced"/>
    <m/>
    <s v="Cryo"/>
    <x v="3"/>
    <s v="Freezor Max"/>
    <x v="2"/>
    <n v="975080"/>
  </r>
  <r>
    <x v="0"/>
    <x v="2"/>
    <s v="Advanced"/>
    <m/>
    <s v="Cryo"/>
    <x v="3"/>
    <s v="Freezor"/>
    <x v="2"/>
    <n v="2865920"/>
  </r>
  <r>
    <x v="0"/>
    <x v="2"/>
    <s v="Advanced"/>
    <m/>
    <s v="Cryo"/>
    <x v="3"/>
    <s v="Arctic Front Advance Pro"/>
    <x v="2"/>
    <n v="95370390"/>
  </r>
  <r>
    <x v="0"/>
    <x v="2"/>
    <s v="Advanced"/>
    <m/>
    <s v="Cryo"/>
    <x v="3"/>
    <s v="Arctic Front Advance"/>
    <x v="2"/>
    <n v="27022320"/>
  </r>
  <r>
    <x v="0"/>
    <x v="2"/>
    <s v="Advanced"/>
    <m/>
    <s v="PFA"/>
    <x v="1"/>
    <s v="FaraWave Nav"/>
    <x v="0"/>
    <n v="4924670"/>
  </r>
  <r>
    <x v="0"/>
    <x v="2"/>
    <s v="Advanced"/>
    <m/>
    <s v="PFA"/>
    <x v="1"/>
    <s v="FaraWave"/>
    <x v="0"/>
    <n v="382421150"/>
  </r>
  <r>
    <x v="0"/>
    <x v="2"/>
    <s v="Advanced"/>
    <m/>
    <s v="PFA"/>
    <x v="1"/>
    <s v="Farapoint"/>
    <x v="0"/>
    <n v="62620"/>
  </r>
  <r>
    <x v="0"/>
    <x v="2"/>
    <s v="Advanced"/>
    <m/>
    <s v="PFA"/>
    <x v="1"/>
    <s v="FaraWave"/>
    <x v="1"/>
    <n v="197720"/>
  </r>
  <r>
    <x v="0"/>
    <x v="2"/>
    <s v="Advanced"/>
    <m/>
    <s v="PFA"/>
    <x v="2"/>
    <s v="Varipulse"/>
    <x v="0"/>
    <n v="1099380"/>
  </r>
  <r>
    <x v="0"/>
    <x v="2"/>
    <s v="Advanced"/>
    <m/>
    <s v="PFA"/>
    <x v="3"/>
    <s v="Sphere-9"/>
    <x v="0"/>
    <n v="2431870"/>
  </r>
  <r>
    <x v="0"/>
    <x v="2"/>
    <s v="Advanced"/>
    <m/>
    <s v="PFA"/>
    <x v="3"/>
    <s v="PulseSelect"/>
    <x v="0"/>
    <n v="56454910"/>
  </r>
  <r>
    <x v="0"/>
    <x v="2"/>
    <s v="Advanced"/>
    <m/>
    <s v="RF"/>
    <x v="0"/>
    <s v="Therapy Cool Path"/>
    <x v="0"/>
    <n v="11720"/>
  </r>
  <r>
    <x v="0"/>
    <x v="2"/>
    <s v="Advanced"/>
    <m/>
    <s v="RF"/>
    <x v="0"/>
    <s v="TactiFlex"/>
    <x v="0"/>
    <n v="113058100"/>
  </r>
  <r>
    <x v="0"/>
    <x v="2"/>
    <s v="Advanced"/>
    <m/>
    <s v="RF"/>
    <x v="0"/>
    <s v="TactiCath Sensor Enabled"/>
    <x v="0"/>
    <n v="39908470"/>
  </r>
  <r>
    <x v="0"/>
    <x v="2"/>
    <s v="Advanced"/>
    <m/>
    <s v="RF"/>
    <x v="0"/>
    <s v="FlexAbility SE"/>
    <x v="0"/>
    <n v="3580870"/>
  </r>
  <r>
    <x v="0"/>
    <x v="2"/>
    <s v="Advanced"/>
    <m/>
    <s v="RF"/>
    <x v="0"/>
    <s v="FlexAbility"/>
    <x v="0"/>
    <n v="3523780"/>
  </r>
  <r>
    <x v="0"/>
    <x v="2"/>
    <s v="Advanced"/>
    <m/>
    <s v="RF"/>
    <x v="0"/>
    <s v="Therapy Cool Path"/>
    <x v="1"/>
    <n v="10130"/>
  </r>
  <r>
    <x v="0"/>
    <x v="2"/>
    <s v="Advanced"/>
    <m/>
    <s v="RF"/>
    <x v="0"/>
    <s v="TactiFlex"/>
    <x v="1"/>
    <n v="31860600"/>
  </r>
  <r>
    <x v="0"/>
    <x v="2"/>
    <s v="Advanced"/>
    <m/>
    <s v="RF"/>
    <x v="0"/>
    <s v="TactiCath Sensor Enabled"/>
    <x v="1"/>
    <n v="90938180"/>
  </r>
  <r>
    <x v="0"/>
    <x v="2"/>
    <s v="Advanced"/>
    <m/>
    <s v="RF"/>
    <x v="0"/>
    <s v="TactiCath Quartz"/>
    <x v="1"/>
    <n v="74160"/>
  </r>
  <r>
    <x v="0"/>
    <x v="2"/>
    <s v="Advanced"/>
    <m/>
    <s v="RF"/>
    <x v="0"/>
    <s v="TactiCath"/>
    <x v="1"/>
    <n v="690"/>
  </r>
  <r>
    <x v="0"/>
    <x v="2"/>
    <s v="Advanced"/>
    <m/>
    <s v="RF"/>
    <x v="0"/>
    <s v="FlexAbility SE"/>
    <x v="1"/>
    <n v="4947910"/>
  </r>
  <r>
    <x v="0"/>
    <x v="2"/>
    <s v="Advanced"/>
    <m/>
    <s v="RF"/>
    <x v="0"/>
    <s v="FlexAbility"/>
    <x v="1"/>
    <n v="4627830"/>
  </r>
  <r>
    <x v="0"/>
    <x v="2"/>
    <s v="Advanced"/>
    <m/>
    <s v="RF"/>
    <x v="0"/>
    <s v="Therapy Cool Path"/>
    <x v="2"/>
    <n v="61970"/>
  </r>
  <r>
    <x v="0"/>
    <x v="2"/>
    <s v="Advanced"/>
    <m/>
    <s v="RF"/>
    <x v="0"/>
    <s v="TactiCath Sensor Enabled"/>
    <x v="2"/>
    <n v="96117010"/>
  </r>
  <r>
    <x v="0"/>
    <x v="2"/>
    <s v="Advanced"/>
    <m/>
    <s v="RF"/>
    <x v="0"/>
    <s v="TactiCath Quartz"/>
    <x v="2"/>
    <n v="155430"/>
  </r>
  <r>
    <x v="0"/>
    <x v="2"/>
    <s v="Advanced"/>
    <m/>
    <s v="RF"/>
    <x v="0"/>
    <s v="TactiCath"/>
    <x v="2"/>
    <n v="1710"/>
  </r>
  <r>
    <x v="0"/>
    <x v="2"/>
    <s v="Advanced"/>
    <m/>
    <s v="RF"/>
    <x v="0"/>
    <s v="FlexAbility SE"/>
    <x v="2"/>
    <n v="5723640"/>
  </r>
  <r>
    <x v="0"/>
    <x v="2"/>
    <s v="Advanced"/>
    <m/>
    <s v="RF"/>
    <x v="0"/>
    <s v="FlexAbility"/>
    <x v="2"/>
    <n v="5427430"/>
  </r>
  <r>
    <x v="0"/>
    <x v="2"/>
    <s v="Advanced"/>
    <m/>
    <s v="RF"/>
    <x v="1"/>
    <s v="IntellaTip MIFI OI"/>
    <x v="0"/>
    <n v="226020"/>
  </r>
  <r>
    <x v="0"/>
    <x v="2"/>
    <s v="Advanced"/>
    <m/>
    <s v="RF"/>
    <x v="1"/>
    <s v="Intellanav OI"/>
    <x v="0"/>
    <n v="50190"/>
  </r>
  <r>
    <x v="0"/>
    <x v="2"/>
    <s v="Advanced"/>
    <m/>
    <s v="RF"/>
    <x v="1"/>
    <s v="Intellanav MIFI OI"/>
    <x v="0"/>
    <n v="6129820"/>
  </r>
  <r>
    <x v="0"/>
    <x v="2"/>
    <s v="Advanced"/>
    <m/>
    <s v="RF"/>
    <x v="1"/>
    <s v="BLAZER Open Irrigated"/>
    <x v="0"/>
    <n v="90240"/>
  </r>
  <r>
    <x v="0"/>
    <x v="2"/>
    <s v="Advanced"/>
    <m/>
    <s v="RF"/>
    <x v="1"/>
    <s v="IntellaTip MIFI OI"/>
    <x v="1"/>
    <n v="311950"/>
  </r>
  <r>
    <x v="0"/>
    <x v="2"/>
    <s v="Advanced"/>
    <m/>
    <s v="RF"/>
    <x v="1"/>
    <s v="Intellanav OI"/>
    <x v="1"/>
    <n v="85320"/>
  </r>
  <r>
    <x v="0"/>
    <x v="2"/>
    <s v="Advanced"/>
    <m/>
    <s v="RF"/>
    <x v="1"/>
    <s v="Intellanav MIFI OI"/>
    <x v="1"/>
    <n v="9237790"/>
  </r>
  <r>
    <x v="0"/>
    <x v="2"/>
    <s v="Advanced"/>
    <m/>
    <s v="RF"/>
    <x v="1"/>
    <s v="BLAZER Open Irrigated"/>
    <x v="1"/>
    <n v="57290"/>
  </r>
  <r>
    <x v="0"/>
    <x v="2"/>
    <s v="Advanced"/>
    <m/>
    <s v="RF"/>
    <x v="1"/>
    <s v="IntellaTip MIFI OI"/>
    <x v="2"/>
    <n v="457730"/>
  </r>
  <r>
    <x v="0"/>
    <x v="2"/>
    <s v="Advanced"/>
    <m/>
    <s v="RF"/>
    <x v="1"/>
    <s v="Intellanav OI"/>
    <x v="2"/>
    <n v="197780"/>
  </r>
  <r>
    <x v="0"/>
    <x v="2"/>
    <s v="Advanced"/>
    <m/>
    <s v="RF"/>
    <x v="1"/>
    <s v="Intellanav MIFI OI"/>
    <x v="2"/>
    <n v="9780080"/>
  </r>
  <r>
    <x v="0"/>
    <x v="2"/>
    <s v="Advanced"/>
    <m/>
    <s v="RF"/>
    <x v="1"/>
    <s v="BLAZER Open Irrigated"/>
    <x v="2"/>
    <n v="68710"/>
  </r>
  <r>
    <x v="0"/>
    <x v="2"/>
    <s v="Advanced"/>
    <m/>
    <s v="RF"/>
    <x v="2"/>
    <s v="ThermoCool SmartTouch SF"/>
    <x v="0"/>
    <n v="248711270"/>
  </r>
  <r>
    <x v="0"/>
    <x v="2"/>
    <s v="Advanced"/>
    <m/>
    <s v="RF"/>
    <x v="2"/>
    <s v="ThermoCool SmartTouch"/>
    <x v="0"/>
    <n v="7306150"/>
  </r>
  <r>
    <x v="0"/>
    <x v="2"/>
    <s v="Advanced"/>
    <m/>
    <s v="RF"/>
    <x v="2"/>
    <s v="ThermoCool SF NAV"/>
    <x v="0"/>
    <n v="1333300"/>
  </r>
  <r>
    <x v="0"/>
    <x v="2"/>
    <s v="Advanced"/>
    <m/>
    <s v="RF"/>
    <x v="2"/>
    <s v="ThermoCool SF"/>
    <x v="0"/>
    <n v="1368950"/>
  </r>
  <r>
    <x v="0"/>
    <x v="2"/>
    <s v="Advanced"/>
    <m/>
    <s v="RF"/>
    <x v="2"/>
    <s v="QDOT"/>
    <x v="0"/>
    <n v="197247730"/>
  </r>
  <r>
    <x v="0"/>
    <x v="2"/>
    <s v="Advanced"/>
    <m/>
    <s v="RF"/>
    <x v="2"/>
    <s v="NaviStar ThermoCool"/>
    <x v="0"/>
    <n v="272000"/>
  </r>
  <r>
    <x v="0"/>
    <x v="2"/>
    <s v="Advanced"/>
    <m/>
    <s v="RF"/>
    <x v="2"/>
    <s v="NaviStar RMT ThermoCool"/>
    <x v="0"/>
    <n v="2864940"/>
  </r>
  <r>
    <x v="0"/>
    <x v="2"/>
    <s v="Advanced"/>
    <m/>
    <s v="RF"/>
    <x v="2"/>
    <s v="EZ Steer ThermoCool NAV"/>
    <x v="0"/>
    <n v="459510"/>
  </r>
  <r>
    <x v="0"/>
    <x v="2"/>
    <s v="Advanced"/>
    <m/>
    <s v="RF"/>
    <x v="2"/>
    <s v="EZ Steer ThermoCool"/>
    <x v="0"/>
    <n v="565190"/>
  </r>
  <r>
    <x v="0"/>
    <x v="2"/>
    <s v="Advanced"/>
    <m/>
    <s v="RF"/>
    <x v="2"/>
    <s v="Celsius ThermoCool RMT"/>
    <x v="0"/>
    <n v="602100"/>
  </r>
  <r>
    <x v="0"/>
    <x v="2"/>
    <s v="Advanced"/>
    <m/>
    <s v="RF"/>
    <x v="2"/>
    <s v="Celsius ThermoCool"/>
    <x v="0"/>
    <n v="403870"/>
  </r>
  <r>
    <x v="0"/>
    <x v="2"/>
    <s v="Advanced"/>
    <m/>
    <s v="RF"/>
    <x v="2"/>
    <s v="ThermoCool SmartTouch SF"/>
    <x v="1"/>
    <n v="376218920"/>
  </r>
  <r>
    <x v="0"/>
    <x v="2"/>
    <s v="Advanced"/>
    <m/>
    <s v="RF"/>
    <x v="2"/>
    <s v="ThermoCool SmartTouch"/>
    <x v="1"/>
    <n v="12645580"/>
  </r>
  <r>
    <x v="0"/>
    <x v="2"/>
    <s v="Advanced"/>
    <m/>
    <s v="RF"/>
    <x v="2"/>
    <s v="ThermoCool SF NAV"/>
    <x v="1"/>
    <n v="1805550"/>
  </r>
  <r>
    <x v="0"/>
    <x v="2"/>
    <s v="Advanced"/>
    <m/>
    <s v="RF"/>
    <x v="2"/>
    <s v="ThermoCool SF"/>
    <x v="1"/>
    <n v="1315050"/>
  </r>
  <r>
    <x v="0"/>
    <x v="2"/>
    <s v="Advanced"/>
    <m/>
    <s v="RF"/>
    <x v="2"/>
    <s v="QDOT"/>
    <x v="1"/>
    <n v="38424700"/>
  </r>
  <r>
    <x v="0"/>
    <x v="2"/>
    <s v="Advanced"/>
    <m/>
    <s v="RF"/>
    <x v="2"/>
    <s v="NaviStar ThermoCool"/>
    <x v="1"/>
    <n v="267500"/>
  </r>
  <r>
    <x v="0"/>
    <x v="2"/>
    <s v="Advanced"/>
    <m/>
    <s v="RF"/>
    <x v="2"/>
    <s v="NaviStar RMT ThermoCool"/>
    <x v="1"/>
    <n v="2916660"/>
  </r>
  <r>
    <x v="0"/>
    <x v="2"/>
    <s v="Advanced"/>
    <m/>
    <s v="RF"/>
    <x v="2"/>
    <s v="EZ Steer ThermoCool NAV"/>
    <x v="1"/>
    <n v="422470"/>
  </r>
  <r>
    <x v="0"/>
    <x v="2"/>
    <s v="Advanced"/>
    <m/>
    <s v="RF"/>
    <x v="2"/>
    <s v="EZ Steer ThermoCool"/>
    <x v="1"/>
    <n v="612200"/>
  </r>
  <r>
    <x v="0"/>
    <x v="2"/>
    <s v="Advanced"/>
    <m/>
    <s v="RF"/>
    <x v="2"/>
    <s v="Celsius ThermoCool RMT"/>
    <x v="1"/>
    <n v="593960"/>
  </r>
  <r>
    <x v="0"/>
    <x v="2"/>
    <s v="Advanced"/>
    <m/>
    <s v="RF"/>
    <x v="2"/>
    <s v="Celsius ThermoCool"/>
    <x v="1"/>
    <n v="406360"/>
  </r>
  <r>
    <x v="0"/>
    <x v="2"/>
    <s v="Advanced"/>
    <m/>
    <s v="RF"/>
    <x v="2"/>
    <s v="ThermoCool SmartTouch SF"/>
    <x v="2"/>
    <n v="337057350"/>
  </r>
  <r>
    <x v="0"/>
    <x v="2"/>
    <s v="Advanced"/>
    <m/>
    <s v="RF"/>
    <x v="2"/>
    <s v="ThermoCool SmartTouch"/>
    <x v="2"/>
    <n v="15516910"/>
  </r>
  <r>
    <x v="0"/>
    <x v="2"/>
    <s v="Advanced"/>
    <m/>
    <s v="RF"/>
    <x v="2"/>
    <s v="ThermoCool SF NAV"/>
    <x v="2"/>
    <n v="1941790"/>
  </r>
  <r>
    <x v="0"/>
    <x v="2"/>
    <s v="Advanced"/>
    <m/>
    <s v="RF"/>
    <x v="2"/>
    <s v="ThermoCool SF"/>
    <x v="2"/>
    <n v="1281230"/>
  </r>
  <r>
    <x v="0"/>
    <x v="2"/>
    <s v="Advanced"/>
    <m/>
    <s v="RF"/>
    <x v="2"/>
    <s v="NaviStar ThermoCool"/>
    <x v="2"/>
    <n v="279370"/>
  </r>
  <r>
    <x v="0"/>
    <x v="2"/>
    <s v="Advanced"/>
    <m/>
    <s v="RF"/>
    <x v="2"/>
    <s v="NaviStar RMT ThermoCool"/>
    <x v="2"/>
    <n v="3606080"/>
  </r>
  <r>
    <x v="0"/>
    <x v="2"/>
    <s v="Advanced"/>
    <m/>
    <s v="RF"/>
    <x v="2"/>
    <s v="EZ Steer ThermoCool NAV"/>
    <x v="2"/>
    <n v="436880"/>
  </r>
  <r>
    <x v="0"/>
    <x v="2"/>
    <s v="Advanced"/>
    <m/>
    <s v="RF"/>
    <x v="2"/>
    <s v="EZ Steer ThermoCool"/>
    <x v="2"/>
    <n v="637940"/>
  </r>
  <r>
    <x v="0"/>
    <x v="2"/>
    <s v="Advanced"/>
    <m/>
    <s v="RF"/>
    <x v="2"/>
    <s v="Celsius ThermoCool RMT"/>
    <x v="2"/>
    <n v="447260"/>
  </r>
  <r>
    <x v="0"/>
    <x v="2"/>
    <s v="Advanced"/>
    <m/>
    <s v="RF"/>
    <x v="2"/>
    <s v="Celsius ThermoCool"/>
    <x v="2"/>
    <n v="410640"/>
  </r>
  <r>
    <x v="0"/>
    <x v="2"/>
    <s v="Advanced"/>
    <m/>
    <s v="RF"/>
    <x v="3"/>
    <s v="DiamondTemp"/>
    <x v="0"/>
    <n v="689120"/>
  </r>
  <r>
    <x v="0"/>
    <x v="2"/>
    <s v="Advanced"/>
    <m/>
    <s v="RF"/>
    <x v="3"/>
    <s v="DiamondTemp"/>
    <x v="1"/>
    <n v="1034920"/>
  </r>
  <r>
    <x v="0"/>
    <x v="2"/>
    <s v="Advanced"/>
    <m/>
    <s v="RF"/>
    <x v="3"/>
    <s v="DiamondTemp"/>
    <x v="2"/>
    <n v="1232110"/>
  </r>
  <r>
    <x v="0"/>
    <x v="3"/>
    <s v="2D"/>
    <s v="Ultrasound"/>
    <m/>
    <x v="0"/>
    <s v="ViewFlex Plus"/>
    <x v="0"/>
    <n v="70541750"/>
  </r>
  <r>
    <x v="0"/>
    <x v="3"/>
    <s v="2D"/>
    <s v="Ultrasound"/>
    <m/>
    <x v="0"/>
    <s v="ViewFlex Plus"/>
    <x v="1"/>
    <n v="53359060"/>
  </r>
  <r>
    <x v="0"/>
    <x v="3"/>
    <s v="2D"/>
    <s v="Ultrasound"/>
    <m/>
    <x v="0"/>
    <s v="ViewFlex Plus"/>
    <x v="2"/>
    <n v="48121180"/>
  </r>
  <r>
    <x v="0"/>
    <x v="3"/>
    <s v="2D"/>
    <s v="Ultrasound"/>
    <m/>
    <x v="1"/>
    <s v="ULTRA ICE Plus"/>
    <x v="0"/>
    <n v="592340"/>
  </r>
  <r>
    <x v="0"/>
    <x v="3"/>
    <s v="2D"/>
    <s v="Ultrasound"/>
    <m/>
    <x v="1"/>
    <s v="ULTRA ICE Plus"/>
    <x v="1"/>
    <n v="591950"/>
  </r>
  <r>
    <x v="0"/>
    <x v="3"/>
    <s v="2D"/>
    <s v="Ultrasound"/>
    <m/>
    <x v="1"/>
    <s v="ULTRA ICE Plus"/>
    <x v="2"/>
    <n v="734790"/>
  </r>
  <r>
    <x v="0"/>
    <x v="3"/>
    <s v="2D"/>
    <s v="Ultrasound"/>
    <m/>
    <x v="2"/>
    <s v="SoundStar eco"/>
    <x v="0"/>
    <n v="36565480"/>
  </r>
  <r>
    <x v="0"/>
    <x v="3"/>
    <s v="2D"/>
    <s v="Ultrasound"/>
    <m/>
    <x v="2"/>
    <s v="SoundStar Crystal"/>
    <x v="0"/>
    <n v="101180"/>
  </r>
  <r>
    <x v="0"/>
    <x v="3"/>
    <s v="2D"/>
    <s v="Ultrasound"/>
    <m/>
    <x v="2"/>
    <s v="SoundStar"/>
    <x v="0"/>
    <n v="157286490"/>
  </r>
  <r>
    <x v="0"/>
    <x v="3"/>
    <s v="2D"/>
    <s v="Ultrasound"/>
    <m/>
    <x v="2"/>
    <s v="ACUNAV"/>
    <x v="0"/>
    <n v="57457850"/>
  </r>
  <r>
    <x v="0"/>
    <x v="3"/>
    <s v="2D"/>
    <s v="Ultrasound"/>
    <m/>
    <x v="2"/>
    <s v="SoundStar eco"/>
    <x v="1"/>
    <n v="27985940"/>
  </r>
  <r>
    <x v="0"/>
    <x v="3"/>
    <s v="2D"/>
    <s v="Ultrasound"/>
    <m/>
    <x v="2"/>
    <s v="SoundStar"/>
    <x v="1"/>
    <n v="133499820"/>
  </r>
  <r>
    <x v="0"/>
    <x v="3"/>
    <s v="2D"/>
    <s v="Ultrasound"/>
    <m/>
    <x v="2"/>
    <s v="ACUNAV"/>
    <x v="1"/>
    <n v="51891980"/>
  </r>
  <r>
    <x v="0"/>
    <x v="3"/>
    <s v="2D"/>
    <s v="Ultrasound"/>
    <m/>
    <x v="2"/>
    <s v="SoundStar eco"/>
    <x v="2"/>
    <n v="23423810"/>
  </r>
  <r>
    <x v="0"/>
    <x v="3"/>
    <s v="2D"/>
    <s v="Ultrasound"/>
    <m/>
    <x v="2"/>
    <s v="SoundStar"/>
    <x v="2"/>
    <n v="135480870"/>
  </r>
  <r>
    <x v="0"/>
    <x v="3"/>
    <s v="2D"/>
    <s v="Ultrasound"/>
    <m/>
    <x v="2"/>
    <s v="ACUNAV"/>
    <x v="2"/>
    <n v="49375040"/>
  </r>
  <r>
    <x v="0"/>
    <x v="3"/>
    <s v="3D/4D"/>
    <s v="Ultrasound"/>
    <m/>
    <x v="2"/>
    <s v="NuVision Catheter"/>
    <x v="0"/>
    <n v="12926590"/>
  </r>
  <r>
    <x v="0"/>
    <x v="3"/>
    <s v="3D/4D"/>
    <s v="Ultrasound"/>
    <m/>
    <x v="2"/>
    <s v="NuVision"/>
    <x v="0"/>
    <n v="15220"/>
  </r>
  <r>
    <x v="0"/>
    <x v="3"/>
    <s v="3D/4D"/>
    <s v="Ultrasound"/>
    <m/>
    <x v="2"/>
    <s v="NuVision Catheter"/>
    <x v="1"/>
    <n v="2558960"/>
  </r>
  <r>
    <x v="0"/>
    <x v="3"/>
    <s v="3D/4D"/>
    <s v="Ultrasound"/>
    <m/>
    <x v="2"/>
    <s v="NuVision"/>
    <x v="1"/>
    <n v="366610"/>
  </r>
  <r>
    <x v="0"/>
    <x v="3"/>
    <s v="3D/4D"/>
    <s v="Ultrasound"/>
    <m/>
    <x v="2"/>
    <s v="NuVision Catheter"/>
    <x v="2"/>
    <n v="1469490"/>
  </r>
  <r>
    <x v="1"/>
    <x v="0"/>
    <s v="Reference Patch"/>
    <m/>
    <m/>
    <x v="0"/>
    <s v="EnSite X"/>
    <x v="0"/>
    <n v="67080"/>
  </r>
  <r>
    <x v="1"/>
    <x v="0"/>
    <s v="Reference Patch"/>
    <m/>
    <m/>
    <x v="0"/>
    <s v="EnSite Precision"/>
    <x v="0"/>
    <n v="9980"/>
  </r>
  <r>
    <x v="1"/>
    <x v="0"/>
    <s v="Reference Patch"/>
    <m/>
    <m/>
    <x v="0"/>
    <s v="EnSite NavX"/>
    <x v="0"/>
    <n v="130"/>
  </r>
  <r>
    <x v="1"/>
    <x v="0"/>
    <s v="Reference Patch"/>
    <m/>
    <m/>
    <x v="0"/>
    <s v="EnSite X"/>
    <x v="1"/>
    <n v="42950"/>
  </r>
  <r>
    <x v="1"/>
    <x v="0"/>
    <s v="Reference Patch"/>
    <m/>
    <m/>
    <x v="0"/>
    <s v="EnSite Precision"/>
    <x v="1"/>
    <n v="22410"/>
  </r>
  <r>
    <x v="1"/>
    <x v="0"/>
    <s v="Reference Patch"/>
    <m/>
    <m/>
    <x v="0"/>
    <s v="EnSite NavX"/>
    <x v="1"/>
    <n v="130"/>
  </r>
  <r>
    <x v="1"/>
    <x v="0"/>
    <s v="Reference Patch"/>
    <m/>
    <m/>
    <x v="0"/>
    <s v="Ensite NavX"/>
    <x v="1"/>
    <n v="20"/>
  </r>
  <r>
    <x v="1"/>
    <x v="0"/>
    <s v="Reference Patch"/>
    <m/>
    <m/>
    <x v="0"/>
    <s v="EnSite X"/>
    <x v="2"/>
    <n v="21310"/>
  </r>
  <r>
    <x v="1"/>
    <x v="0"/>
    <s v="Reference Patch"/>
    <m/>
    <m/>
    <x v="0"/>
    <s v="EnSite Precision"/>
    <x v="2"/>
    <n v="39130"/>
  </r>
  <r>
    <x v="1"/>
    <x v="0"/>
    <s v="Reference Patch"/>
    <m/>
    <m/>
    <x v="0"/>
    <s v="EnSite NavX"/>
    <x v="2"/>
    <n v="200"/>
  </r>
  <r>
    <x v="1"/>
    <x v="0"/>
    <s v="Reference Patch"/>
    <m/>
    <m/>
    <x v="0"/>
    <s v="Ensite NavX"/>
    <x v="2"/>
    <n v="150"/>
  </r>
  <r>
    <x v="1"/>
    <x v="0"/>
    <s v="Reference Patch"/>
    <m/>
    <m/>
    <x v="1"/>
    <s v="Rhythmia"/>
    <x v="0"/>
    <n v="6340"/>
  </r>
  <r>
    <x v="1"/>
    <x v="0"/>
    <s v="Reference Patch"/>
    <m/>
    <m/>
    <x v="1"/>
    <s v="Rhythmia"/>
    <x v="1"/>
    <n v="5320"/>
  </r>
  <r>
    <x v="1"/>
    <x v="0"/>
    <s v="Reference Patch"/>
    <m/>
    <m/>
    <x v="1"/>
    <s v="Rhythmia"/>
    <x v="2"/>
    <n v="5040"/>
  </r>
  <r>
    <x v="1"/>
    <x v="0"/>
    <s v="Reference Patch"/>
    <m/>
    <m/>
    <x v="2"/>
    <s v="Carto 3"/>
    <x v="0"/>
    <n v="155040"/>
  </r>
  <r>
    <x v="1"/>
    <x v="0"/>
    <s v="Reference Patch"/>
    <m/>
    <m/>
    <x v="2"/>
    <s v="Carto 3"/>
    <x v="1"/>
    <n v="137460"/>
  </r>
  <r>
    <x v="1"/>
    <x v="0"/>
    <s v="Reference Patch"/>
    <m/>
    <m/>
    <x v="2"/>
    <s v="Carto 3"/>
    <x v="2"/>
    <n v="122370"/>
  </r>
  <r>
    <x v="1"/>
    <x v="0"/>
    <s v="Reference Patch"/>
    <m/>
    <m/>
    <x v="3"/>
    <s v="Affera"/>
    <x v="0"/>
    <n v="310"/>
  </r>
  <r>
    <x v="1"/>
    <x v="1"/>
    <s v="Advanced"/>
    <s v="Advanced/3D mapping"/>
    <m/>
    <x v="0"/>
    <s v="Advisor HD Grid X"/>
    <x v="0"/>
    <n v="130"/>
  </r>
  <r>
    <x v="1"/>
    <x v="1"/>
    <s v="Advanced"/>
    <s v="Advanced/3D mapping"/>
    <m/>
    <x v="0"/>
    <s v="Advisor HD"/>
    <x v="0"/>
    <n v="36550"/>
  </r>
  <r>
    <x v="1"/>
    <x v="1"/>
    <s v="Advanced"/>
    <s v="Advanced/3D mapping"/>
    <m/>
    <x v="0"/>
    <s v="Livewire"/>
    <x v="1"/>
    <n v="0"/>
  </r>
  <r>
    <x v="1"/>
    <x v="1"/>
    <s v="Advanced"/>
    <s v="Advanced/3D mapping"/>
    <m/>
    <x v="0"/>
    <s v="FIRMap"/>
    <x v="1"/>
    <n v="20"/>
  </r>
  <r>
    <x v="1"/>
    <x v="1"/>
    <s v="Advanced"/>
    <s v="Advanced/3D mapping"/>
    <m/>
    <x v="0"/>
    <s v="Advisor HD"/>
    <x v="1"/>
    <n v="25790"/>
  </r>
  <r>
    <x v="1"/>
    <x v="1"/>
    <s v="Advanced"/>
    <s v="Advanced/3D mapping"/>
    <m/>
    <x v="0"/>
    <s v="Livewire"/>
    <x v="2"/>
    <n v="0"/>
  </r>
  <r>
    <x v="1"/>
    <x v="1"/>
    <s v="Advanced"/>
    <s v="Advanced/3D mapping"/>
    <m/>
    <x v="0"/>
    <s v="FIRMap"/>
    <x v="2"/>
    <n v="60"/>
  </r>
  <r>
    <x v="1"/>
    <x v="1"/>
    <s v="Advanced"/>
    <s v="Advanced/3D mapping"/>
    <m/>
    <x v="0"/>
    <s v="Advisor HD"/>
    <x v="2"/>
    <n v="22050"/>
  </r>
  <r>
    <x v="1"/>
    <x v="1"/>
    <s v="Advanced"/>
    <s v="Advanced/3D mapping"/>
    <m/>
    <x v="1"/>
    <s v="IntellaMap Orion"/>
    <x v="0"/>
    <n v="3590"/>
  </r>
  <r>
    <x v="1"/>
    <x v="1"/>
    <s v="Advanced"/>
    <s v="Advanced/3D mapping"/>
    <m/>
    <x v="1"/>
    <s v="IntellaMap Orion"/>
    <x v="1"/>
    <n v="3560"/>
  </r>
  <r>
    <x v="1"/>
    <x v="1"/>
    <s v="Advanced"/>
    <s v="Advanced/3D mapping"/>
    <m/>
    <x v="1"/>
    <s v="IntellaMap Orion"/>
    <x v="2"/>
    <n v="3150"/>
  </r>
  <r>
    <x v="1"/>
    <x v="1"/>
    <s v="Advanced"/>
    <s v="Advanced/3D mapping"/>
    <m/>
    <x v="1"/>
    <s v="CONSTELLATION"/>
    <x v="2"/>
    <n v="20"/>
  </r>
  <r>
    <x v="1"/>
    <x v="1"/>
    <s v="Advanced"/>
    <s v="Advanced/3D mapping"/>
    <m/>
    <x v="2"/>
    <s v="Pentaray NAV eco"/>
    <x v="0"/>
    <n v="24510"/>
  </r>
  <r>
    <x v="1"/>
    <x v="1"/>
    <s v="Advanced"/>
    <s v="Advanced/3D mapping"/>
    <m/>
    <x v="2"/>
    <s v="Optrell"/>
    <x v="0"/>
    <n v="8450"/>
  </r>
  <r>
    <x v="1"/>
    <x v="1"/>
    <s v="Advanced"/>
    <s v="Advanced/3D mapping"/>
    <m/>
    <x v="2"/>
    <s v="OCTARAY"/>
    <x v="0"/>
    <n v="74340"/>
  </r>
  <r>
    <x v="1"/>
    <x v="1"/>
    <s v="Advanced"/>
    <s v="Advanced/3D mapping"/>
    <m/>
    <x v="2"/>
    <s v="DECANAV"/>
    <x v="0"/>
    <n v="49350"/>
  </r>
  <r>
    <x v="1"/>
    <x v="1"/>
    <s v="Advanced"/>
    <s v="Advanced/3D mapping"/>
    <m/>
    <x v="2"/>
    <s v="Pentaray NAV eco"/>
    <x v="1"/>
    <n v="32090"/>
  </r>
  <r>
    <x v="1"/>
    <x v="1"/>
    <s v="Advanced"/>
    <s v="Advanced/3D mapping"/>
    <m/>
    <x v="2"/>
    <s v="Optrell"/>
    <x v="1"/>
    <n v="5960"/>
  </r>
  <r>
    <x v="1"/>
    <x v="1"/>
    <s v="Advanced"/>
    <s v="Advanced/3D mapping"/>
    <m/>
    <x v="2"/>
    <s v="OCTARAY"/>
    <x v="1"/>
    <n v="54640"/>
  </r>
  <r>
    <x v="1"/>
    <x v="1"/>
    <s v="Advanced"/>
    <s v="Advanced/3D mapping"/>
    <m/>
    <x v="2"/>
    <s v="DECANAV"/>
    <x v="1"/>
    <n v="41490"/>
  </r>
  <r>
    <x v="1"/>
    <x v="1"/>
    <s v="Advanced"/>
    <s v="Advanced/3D mapping"/>
    <m/>
    <x v="2"/>
    <s v="Pentaray NAV eco"/>
    <x v="2"/>
    <n v="57920"/>
  </r>
  <r>
    <x v="1"/>
    <x v="1"/>
    <s v="Advanced"/>
    <s v="Advanced/3D mapping"/>
    <m/>
    <x v="2"/>
    <s v="Optrell"/>
    <x v="2"/>
    <n v="320"/>
  </r>
  <r>
    <x v="1"/>
    <x v="1"/>
    <s v="Advanced"/>
    <s v="Advanced/3D mapping"/>
    <m/>
    <x v="2"/>
    <s v="OCTARAY"/>
    <x v="2"/>
    <n v="16500"/>
  </r>
  <r>
    <x v="1"/>
    <x v="1"/>
    <s v="Advanced"/>
    <s v="Advanced/3D mapping"/>
    <m/>
    <x v="2"/>
    <s v="DECANAV"/>
    <x v="2"/>
    <n v="32600"/>
  </r>
  <r>
    <x v="1"/>
    <x v="1"/>
    <s v="Advanced"/>
    <s v="Loop"/>
    <m/>
    <x v="0"/>
    <s v="Reflexion Spiral"/>
    <x v="0"/>
    <n v="140"/>
  </r>
  <r>
    <x v="1"/>
    <x v="1"/>
    <s v="Advanced"/>
    <s v="Loop"/>
    <m/>
    <x v="0"/>
    <s v="Reflexion HD"/>
    <x v="0"/>
    <n v="0"/>
  </r>
  <r>
    <x v="1"/>
    <x v="1"/>
    <s v="Advanced"/>
    <s v="Loop"/>
    <m/>
    <x v="0"/>
    <s v="Afocus"/>
    <x v="0"/>
    <n v="660"/>
  </r>
  <r>
    <x v="1"/>
    <x v="1"/>
    <s v="Advanced"/>
    <s v="Loop"/>
    <m/>
    <x v="0"/>
    <s v="Advisor VL"/>
    <x v="0"/>
    <n v="1540"/>
  </r>
  <r>
    <x v="1"/>
    <x v="1"/>
    <s v="Advanced"/>
    <s v="Loop"/>
    <m/>
    <x v="0"/>
    <s v="Advisor FL"/>
    <x v="0"/>
    <n v="1070"/>
  </r>
  <r>
    <x v="1"/>
    <x v="1"/>
    <s v="Advanced"/>
    <s v="Loop"/>
    <m/>
    <x v="0"/>
    <s v="Reflexion Spiral"/>
    <x v="1"/>
    <n v="300"/>
  </r>
  <r>
    <x v="1"/>
    <x v="1"/>
    <s v="Advanced"/>
    <s v="Loop"/>
    <m/>
    <x v="0"/>
    <s v="Reflexion HD"/>
    <x v="1"/>
    <n v="0"/>
  </r>
  <r>
    <x v="1"/>
    <x v="1"/>
    <s v="Advanced"/>
    <s v="Loop"/>
    <m/>
    <x v="0"/>
    <s v="Optima"/>
    <x v="1"/>
    <n v="30"/>
  </r>
  <r>
    <x v="1"/>
    <x v="1"/>
    <s v="Advanced"/>
    <s v="Loop"/>
    <m/>
    <x v="0"/>
    <s v="Afocus"/>
    <x v="1"/>
    <n v="240"/>
  </r>
  <r>
    <x v="1"/>
    <x v="1"/>
    <s v="Advanced"/>
    <s v="Loop"/>
    <m/>
    <x v="0"/>
    <s v="Advisor VL"/>
    <x v="1"/>
    <n v="1180"/>
  </r>
  <r>
    <x v="1"/>
    <x v="1"/>
    <s v="Advanced"/>
    <s v="Loop"/>
    <m/>
    <x v="0"/>
    <s v="Advisor FL"/>
    <x v="1"/>
    <n v="460"/>
  </r>
  <r>
    <x v="1"/>
    <x v="1"/>
    <s v="Advanced"/>
    <s v="Loop"/>
    <m/>
    <x v="0"/>
    <s v="Reflexion Spiral"/>
    <x v="2"/>
    <n v="860"/>
  </r>
  <r>
    <x v="1"/>
    <x v="1"/>
    <s v="Advanced"/>
    <s v="Loop"/>
    <m/>
    <x v="0"/>
    <s v="Reflexion HD"/>
    <x v="2"/>
    <n v="60"/>
  </r>
  <r>
    <x v="1"/>
    <x v="1"/>
    <s v="Advanced"/>
    <s v="Loop"/>
    <m/>
    <x v="0"/>
    <s v="Optima"/>
    <x v="2"/>
    <n v="130"/>
  </r>
  <r>
    <x v="1"/>
    <x v="1"/>
    <s v="Advanced"/>
    <s v="Loop"/>
    <m/>
    <x v="0"/>
    <s v="Afocus"/>
    <x v="2"/>
    <n v="410"/>
  </r>
  <r>
    <x v="1"/>
    <x v="1"/>
    <s v="Advanced"/>
    <s v="Loop"/>
    <m/>
    <x v="0"/>
    <s v="Advisor VL"/>
    <x v="2"/>
    <n v="1050"/>
  </r>
  <r>
    <x v="1"/>
    <x v="1"/>
    <s v="Advanced"/>
    <s v="Loop"/>
    <m/>
    <x v="0"/>
    <s v="Advisor FL"/>
    <x v="2"/>
    <n v="500"/>
  </r>
  <r>
    <x v="1"/>
    <x v="1"/>
    <s v="Advanced"/>
    <s v="Loop"/>
    <m/>
    <x v="1"/>
    <s v="POLARMAP"/>
    <x v="0"/>
    <n v="1680"/>
  </r>
  <r>
    <x v="1"/>
    <x v="1"/>
    <s v="Advanced"/>
    <s v="Loop"/>
    <m/>
    <x v="1"/>
    <s v="POLARMAP"/>
    <x v="1"/>
    <n v="1530"/>
  </r>
  <r>
    <x v="1"/>
    <x v="1"/>
    <s v="Advanced"/>
    <s v="Loop"/>
    <m/>
    <x v="1"/>
    <s v="POLARMAP"/>
    <x v="2"/>
    <n v="10"/>
  </r>
  <r>
    <x v="1"/>
    <x v="1"/>
    <s v="Advanced"/>
    <s v="Loop"/>
    <m/>
    <x v="2"/>
    <s v="Lasso Nav eco EO"/>
    <x v="0"/>
    <n v="250"/>
  </r>
  <r>
    <x v="1"/>
    <x v="1"/>
    <s v="Advanced"/>
    <s v="Loop"/>
    <m/>
    <x v="2"/>
    <s v="Lasso Nav eco"/>
    <x v="0"/>
    <n v="440"/>
  </r>
  <r>
    <x v="1"/>
    <x v="1"/>
    <s v="Advanced"/>
    <s v="Loop"/>
    <m/>
    <x v="2"/>
    <s v="Lasso NAV"/>
    <x v="0"/>
    <n v="390"/>
  </r>
  <r>
    <x v="1"/>
    <x v="1"/>
    <s v="Advanced"/>
    <s v="Loop"/>
    <m/>
    <x v="2"/>
    <s v="Lasso 2515 Variable Circular"/>
    <x v="0"/>
    <n v="110"/>
  </r>
  <r>
    <x v="1"/>
    <x v="1"/>
    <s v="Advanced"/>
    <s v="Loop"/>
    <m/>
    <x v="2"/>
    <s v="Lasso 2515 Nav eco Variable"/>
    <x v="0"/>
    <n v="2610"/>
  </r>
  <r>
    <x v="1"/>
    <x v="1"/>
    <s v="Advanced"/>
    <s v="Loop"/>
    <m/>
    <x v="2"/>
    <s v="Lasso"/>
    <x v="0"/>
    <n v="50"/>
  </r>
  <r>
    <x v="1"/>
    <x v="1"/>
    <s v="Advanced"/>
    <s v="Loop"/>
    <m/>
    <x v="2"/>
    <s v="Lasso Nav eco EO"/>
    <x v="1"/>
    <n v="290"/>
  </r>
  <r>
    <x v="1"/>
    <x v="1"/>
    <s v="Advanced"/>
    <s v="Loop"/>
    <m/>
    <x v="2"/>
    <s v="Lasso Nav eco"/>
    <x v="1"/>
    <n v="600"/>
  </r>
  <r>
    <x v="1"/>
    <x v="1"/>
    <s v="Advanced"/>
    <s v="Loop"/>
    <m/>
    <x v="2"/>
    <s v="Lasso NAV"/>
    <x v="1"/>
    <n v="340"/>
  </r>
  <r>
    <x v="1"/>
    <x v="1"/>
    <s v="Advanced"/>
    <s v="Loop"/>
    <m/>
    <x v="2"/>
    <s v="Lasso 2515 Variable Circular"/>
    <x v="1"/>
    <n v="230"/>
  </r>
  <r>
    <x v="1"/>
    <x v="1"/>
    <s v="Advanced"/>
    <s v="Loop"/>
    <m/>
    <x v="2"/>
    <s v="Lasso 2515 Nav eco Variable"/>
    <x v="1"/>
    <n v="3460"/>
  </r>
  <r>
    <x v="1"/>
    <x v="1"/>
    <s v="Advanced"/>
    <s v="Loop"/>
    <m/>
    <x v="2"/>
    <s v="Lasso"/>
    <x v="1"/>
    <n v="110"/>
  </r>
  <r>
    <x v="1"/>
    <x v="1"/>
    <s v="Advanced"/>
    <s v="Loop"/>
    <m/>
    <x v="2"/>
    <s v="Lasso Nav eco EO"/>
    <x v="2"/>
    <n v="290"/>
  </r>
  <r>
    <x v="1"/>
    <x v="1"/>
    <s v="Advanced"/>
    <s v="Loop"/>
    <m/>
    <x v="2"/>
    <s v="Lasso Nav eco"/>
    <x v="2"/>
    <n v="740"/>
  </r>
  <r>
    <x v="1"/>
    <x v="1"/>
    <s v="Advanced"/>
    <s v="Loop"/>
    <m/>
    <x v="2"/>
    <s v="Lasso NAV"/>
    <x v="2"/>
    <n v="40"/>
  </r>
  <r>
    <x v="1"/>
    <x v="1"/>
    <s v="Advanced"/>
    <s v="Loop"/>
    <m/>
    <x v="2"/>
    <s v="Lasso 2515 Variable Circular"/>
    <x v="2"/>
    <n v="330"/>
  </r>
  <r>
    <x v="1"/>
    <x v="1"/>
    <s v="Advanced"/>
    <s v="Loop"/>
    <m/>
    <x v="2"/>
    <s v="Lasso 2515 Nav eco Variable"/>
    <x v="2"/>
    <n v="5470"/>
  </r>
  <r>
    <x v="1"/>
    <x v="1"/>
    <s v="Advanced"/>
    <s v="Loop"/>
    <m/>
    <x v="2"/>
    <s v="Lasso"/>
    <x v="2"/>
    <n v="130"/>
  </r>
  <r>
    <x v="1"/>
    <x v="1"/>
    <s v="Advanced"/>
    <s v="Loop"/>
    <m/>
    <x v="3"/>
    <s v="Achieve"/>
    <x v="0"/>
    <n v="16480"/>
  </r>
  <r>
    <x v="1"/>
    <x v="1"/>
    <s v="Advanced"/>
    <s v="Loop"/>
    <m/>
    <x v="3"/>
    <s v="Achieve"/>
    <x v="1"/>
    <n v="28540"/>
  </r>
  <r>
    <x v="1"/>
    <x v="1"/>
    <s v="Advanced"/>
    <s v="Loop"/>
    <m/>
    <x v="3"/>
    <s v="Achieve"/>
    <x v="2"/>
    <n v="27530"/>
  </r>
  <r>
    <x v="1"/>
    <x v="2"/>
    <s v="Advanced"/>
    <m/>
    <s v="Cryo"/>
    <x v="1"/>
    <s v="POLARx Fit ST"/>
    <x v="0"/>
    <n v="1690"/>
  </r>
  <r>
    <x v="1"/>
    <x v="2"/>
    <s v="Advanced"/>
    <m/>
    <s v="Cryo"/>
    <x v="1"/>
    <s v="POLARx Fit LT"/>
    <x v="0"/>
    <n v="110"/>
  </r>
  <r>
    <x v="1"/>
    <x v="2"/>
    <s v="Advanced"/>
    <m/>
    <s v="Cryo"/>
    <x v="1"/>
    <s v="POLARx Fit ST"/>
    <x v="1"/>
    <n v="1360"/>
  </r>
  <r>
    <x v="1"/>
    <x v="2"/>
    <s v="Advanced"/>
    <m/>
    <s v="Cryo"/>
    <x v="1"/>
    <s v="POLARx Fit LT"/>
    <x v="1"/>
    <n v="250"/>
  </r>
  <r>
    <x v="1"/>
    <x v="2"/>
    <s v="Advanced"/>
    <m/>
    <s v="Cryo"/>
    <x v="1"/>
    <s v="POLARx Fit ST"/>
    <x v="2"/>
    <n v="10"/>
  </r>
  <r>
    <x v="1"/>
    <x v="2"/>
    <s v="Advanced"/>
    <m/>
    <s v="Cryo"/>
    <x v="1"/>
    <s v="POLARx Fit LT"/>
    <x v="2"/>
    <n v="20"/>
  </r>
  <r>
    <x v="1"/>
    <x v="2"/>
    <s v="Advanced"/>
    <m/>
    <s v="Cryo"/>
    <x v="3"/>
    <s v="Freezor Xtra"/>
    <x v="0"/>
    <n v="1950"/>
  </r>
  <r>
    <x v="1"/>
    <x v="2"/>
    <s v="Advanced"/>
    <m/>
    <s v="Cryo"/>
    <x v="3"/>
    <s v="Freezor Max"/>
    <x v="0"/>
    <n v="540"/>
  </r>
  <r>
    <x v="1"/>
    <x v="2"/>
    <s v="Advanced"/>
    <m/>
    <s v="Cryo"/>
    <x v="3"/>
    <s v="Freezor"/>
    <x v="0"/>
    <n v="340"/>
  </r>
  <r>
    <x v="1"/>
    <x v="2"/>
    <s v="Advanced"/>
    <m/>
    <s v="Cryo"/>
    <x v="3"/>
    <s v="Arctic Front Advance Pro"/>
    <x v="0"/>
    <n v="15470"/>
  </r>
  <r>
    <x v="1"/>
    <x v="2"/>
    <s v="Advanced"/>
    <m/>
    <s v="Cryo"/>
    <x v="3"/>
    <s v="Arctic Front Advance"/>
    <x v="0"/>
    <n v="2430"/>
  </r>
  <r>
    <x v="1"/>
    <x v="2"/>
    <s v="Advanced"/>
    <m/>
    <s v="Cryo"/>
    <x v="3"/>
    <s v="Freezor Xtra"/>
    <x v="1"/>
    <n v="1890"/>
  </r>
  <r>
    <x v="1"/>
    <x v="2"/>
    <s v="Advanced"/>
    <m/>
    <s v="Cryo"/>
    <x v="3"/>
    <s v="Freezor Max"/>
    <x v="1"/>
    <n v="540"/>
  </r>
  <r>
    <x v="1"/>
    <x v="2"/>
    <s v="Advanced"/>
    <m/>
    <s v="Cryo"/>
    <x v="3"/>
    <s v="Freezor"/>
    <x v="1"/>
    <n v="620"/>
  </r>
  <r>
    <x v="1"/>
    <x v="2"/>
    <s v="Advanced"/>
    <m/>
    <s v="Cryo"/>
    <x v="3"/>
    <s v="Arctic Front Advance Pro"/>
    <x v="1"/>
    <n v="24980"/>
  </r>
  <r>
    <x v="1"/>
    <x v="2"/>
    <s v="Advanced"/>
    <m/>
    <s v="Cryo"/>
    <x v="3"/>
    <s v="Arctic Front Advance"/>
    <x v="1"/>
    <n v="4730"/>
  </r>
  <r>
    <x v="1"/>
    <x v="2"/>
    <s v="Advanced"/>
    <m/>
    <s v="Cryo"/>
    <x v="3"/>
    <s v="Arctic Front"/>
    <x v="1"/>
    <n v="0"/>
  </r>
  <r>
    <x v="1"/>
    <x v="2"/>
    <s v="Advanced"/>
    <m/>
    <s v="Cryo"/>
    <x v="3"/>
    <s v="Freezor Xtra"/>
    <x v="2"/>
    <n v="500"/>
  </r>
  <r>
    <x v="1"/>
    <x v="2"/>
    <s v="Advanced"/>
    <m/>
    <s v="Cryo"/>
    <x v="3"/>
    <s v="Freezor Max"/>
    <x v="2"/>
    <n v="560"/>
  </r>
  <r>
    <x v="1"/>
    <x v="2"/>
    <s v="Advanced"/>
    <m/>
    <s v="Cryo"/>
    <x v="3"/>
    <s v="Freezor"/>
    <x v="2"/>
    <n v="1950"/>
  </r>
  <r>
    <x v="1"/>
    <x v="2"/>
    <s v="Advanced"/>
    <m/>
    <s v="Cryo"/>
    <x v="3"/>
    <s v="Arctic Front Advance Pro"/>
    <x v="2"/>
    <n v="21780"/>
  </r>
  <r>
    <x v="1"/>
    <x v="2"/>
    <s v="Advanced"/>
    <m/>
    <s v="Cryo"/>
    <x v="3"/>
    <s v="Arctic Front Advance"/>
    <x v="2"/>
    <n v="6230"/>
  </r>
  <r>
    <x v="1"/>
    <x v="2"/>
    <s v="Advanced"/>
    <m/>
    <s v="PFA"/>
    <x v="1"/>
    <s v="FaraWave Nav"/>
    <x v="0"/>
    <n v="580"/>
  </r>
  <r>
    <x v="1"/>
    <x v="2"/>
    <s v="Advanced"/>
    <m/>
    <s v="PFA"/>
    <x v="1"/>
    <s v="FaraWave"/>
    <x v="0"/>
    <n v="45240"/>
  </r>
  <r>
    <x v="1"/>
    <x v="2"/>
    <s v="Advanced"/>
    <m/>
    <s v="PFA"/>
    <x v="1"/>
    <s v="Farapoint"/>
    <x v="0"/>
    <n v="20"/>
  </r>
  <r>
    <x v="1"/>
    <x v="2"/>
    <s v="Advanced"/>
    <m/>
    <s v="PFA"/>
    <x v="1"/>
    <s v="FaraWave"/>
    <x v="1"/>
    <n v="30"/>
  </r>
  <r>
    <x v="1"/>
    <x v="2"/>
    <s v="Advanced"/>
    <m/>
    <s v="PFA"/>
    <x v="2"/>
    <s v="Varipulse"/>
    <x v="0"/>
    <n v="170"/>
  </r>
  <r>
    <x v="1"/>
    <x v="2"/>
    <s v="Advanced"/>
    <m/>
    <s v="PFA"/>
    <x v="3"/>
    <s v="Sphere-9"/>
    <x v="0"/>
    <n v="220"/>
  </r>
  <r>
    <x v="1"/>
    <x v="2"/>
    <s v="Advanced"/>
    <m/>
    <s v="PFA"/>
    <x v="3"/>
    <s v="PulseSelect"/>
    <x v="0"/>
    <n v="8660"/>
  </r>
  <r>
    <x v="1"/>
    <x v="2"/>
    <s v="Advanced"/>
    <m/>
    <s v="RF"/>
    <x v="0"/>
    <s v="Therapy Cool Path"/>
    <x v="0"/>
    <n v="10"/>
  </r>
  <r>
    <x v="1"/>
    <x v="2"/>
    <s v="Advanced"/>
    <m/>
    <s v="RF"/>
    <x v="0"/>
    <s v="TactiFlex"/>
    <x v="0"/>
    <n v="28830"/>
  </r>
  <r>
    <x v="1"/>
    <x v="2"/>
    <s v="Advanced"/>
    <m/>
    <s v="RF"/>
    <x v="0"/>
    <s v="TactiCath Sensor Enabled"/>
    <x v="0"/>
    <n v="13810"/>
  </r>
  <r>
    <x v="1"/>
    <x v="2"/>
    <s v="Advanced"/>
    <m/>
    <s v="RF"/>
    <x v="0"/>
    <s v="FlexAbility SE"/>
    <x v="0"/>
    <n v="1830"/>
  </r>
  <r>
    <x v="1"/>
    <x v="2"/>
    <s v="Advanced"/>
    <m/>
    <s v="RF"/>
    <x v="0"/>
    <s v="FlexAbility"/>
    <x v="0"/>
    <n v="1970"/>
  </r>
  <r>
    <x v="1"/>
    <x v="2"/>
    <s v="Advanced"/>
    <m/>
    <s v="RF"/>
    <x v="0"/>
    <s v="Therapy Cool Path"/>
    <x v="1"/>
    <n v="10"/>
  </r>
  <r>
    <x v="1"/>
    <x v="2"/>
    <s v="Advanced"/>
    <m/>
    <s v="RF"/>
    <x v="0"/>
    <s v="TactiFlex"/>
    <x v="1"/>
    <n v="8070"/>
  </r>
  <r>
    <x v="1"/>
    <x v="2"/>
    <s v="Advanced"/>
    <m/>
    <s v="RF"/>
    <x v="0"/>
    <s v="TactiCath Sensor Enabled"/>
    <x v="1"/>
    <n v="31590"/>
  </r>
  <r>
    <x v="1"/>
    <x v="2"/>
    <s v="Advanced"/>
    <m/>
    <s v="RF"/>
    <x v="0"/>
    <s v="TactiCath Quartz"/>
    <x v="1"/>
    <n v="30"/>
  </r>
  <r>
    <x v="1"/>
    <x v="2"/>
    <s v="Advanced"/>
    <m/>
    <s v="RF"/>
    <x v="0"/>
    <s v="TactiCath"/>
    <x v="1"/>
    <n v="0"/>
  </r>
  <r>
    <x v="1"/>
    <x v="2"/>
    <s v="Advanced"/>
    <m/>
    <s v="RF"/>
    <x v="0"/>
    <s v="FlexAbility SE"/>
    <x v="1"/>
    <n v="2570"/>
  </r>
  <r>
    <x v="1"/>
    <x v="2"/>
    <s v="Advanced"/>
    <m/>
    <s v="RF"/>
    <x v="0"/>
    <s v="FlexAbility"/>
    <x v="1"/>
    <n v="2640"/>
  </r>
  <r>
    <x v="1"/>
    <x v="2"/>
    <s v="Advanced"/>
    <m/>
    <s v="RF"/>
    <x v="0"/>
    <s v="Therapy Cool Path"/>
    <x v="2"/>
    <n v="60"/>
  </r>
  <r>
    <x v="1"/>
    <x v="2"/>
    <s v="Advanced"/>
    <m/>
    <s v="RF"/>
    <x v="0"/>
    <s v="TactiCath Sensor Enabled"/>
    <x v="2"/>
    <n v="33790"/>
  </r>
  <r>
    <x v="1"/>
    <x v="2"/>
    <s v="Advanced"/>
    <m/>
    <s v="RF"/>
    <x v="0"/>
    <s v="TactiCath Quartz"/>
    <x v="2"/>
    <n v="60"/>
  </r>
  <r>
    <x v="1"/>
    <x v="2"/>
    <s v="Advanced"/>
    <m/>
    <s v="RF"/>
    <x v="0"/>
    <s v="TactiCath"/>
    <x v="2"/>
    <n v="0"/>
  </r>
  <r>
    <x v="1"/>
    <x v="2"/>
    <s v="Advanced"/>
    <m/>
    <s v="RF"/>
    <x v="0"/>
    <s v="FlexAbility SE"/>
    <x v="2"/>
    <n v="2940"/>
  </r>
  <r>
    <x v="1"/>
    <x v="2"/>
    <s v="Advanced"/>
    <m/>
    <s v="RF"/>
    <x v="0"/>
    <s v="FlexAbility"/>
    <x v="2"/>
    <n v="3200"/>
  </r>
  <r>
    <x v="1"/>
    <x v="2"/>
    <s v="Advanced"/>
    <m/>
    <s v="RF"/>
    <x v="1"/>
    <s v="IntellaTip MIFI OI"/>
    <x v="0"/>
    <n v="120"/>
  </r>
  <r>
    <x v="1"/>
    <x v="2"/>
    <s v="Advanced"/>
    <m/>
    <s v="RF"/>
    <x v="1"/>
    <s v="Intellanav OI"/>
    <x v="0"/>
    <n v="20"/>
  </r>
  <r>
    <x v="1"/>
    <x v="2"/>
    <s v="Advanced"/>
    <m/>
    <s v="RF"/>
    <x v="1"/>
    <s v="Intellanav MIFI OI"/>
    <x v="0"/>
    <n v="2160"/>
  </r>
  <r>
    <x v="1"/>
    <x v="2"/>
    <s v="Advanced"/>
    <m/>
    <s v="RF"/>
    <x v="1"/>
    <s v="BLAZER Open Irrigated"/>
    <x v="0"/>
    <n v="70"/>
  </r>
  <r>
    <x v="1"/>
    <x v="2"/>
    <s v="Advanced"/>
    <m/>
    <s v="RF"/>
    <x v="1"/>
    <s v="IntellaTip MIFI OI"/>
    <x v="1"/>
    <n v="160"/>
  </r>
  <r>
    <x v="1"/>
    <x v="2"/>
    <s v="Advanced"/>
    <m/>
    <s v="RF"/>
    <x v="1"/>
    <s v="Intellanav OI"/>
    <x v="1"/>
    <n v="40"/>
  </r>
  <r>
    <x v="1"/>
    <x v="2"/>
    <s v="Advanced"/>
    <m/>
    <s v="RF"/>
    <x v="1"/>
    <s v="Intellanav MIFI OI"/>
    <x v="1"/>
    <n v="3330"/>
  </r>
  <r>
    <x v="1"/>
    <x v="2"/>
    <s v="Advanced"/>
    <m/>
    <s v="RF"/>
    <x v="1"/>
    <s v="BLAZER Open Irrigated"/>
    <x v="1"/>
    <n v="40"/>
  </r>
  <r>
    <x v="1"/>
    <x v="2"/>
    <s v="Advanced"/>
    <m/>
    <s v="RF"/>
    <x v="1"/>
    <s v="IntellaTip MIFI OI"/>
    <x v="2"/>
    <n v="230"/>
  </r>
  <r>
    <x v="1"/>
    <x v="2"/>
    <s v="Advanced"/>
    <m/>
    <s v="RF"/>
    <x v="1"/>
    <s v="Intellanav OI"/>
    <x v="2"/>
    <n v="70"/>
  </r>
  <r>
    <x v="1"/>
    <x v="2"/>
    <s v="Advanced"/>
    <m/>
    <s v="RF"/>
    <x v="1"/>
    <s v="Intellanav MIFI OI"/>
    <x v="2"/>
    <n v="3500"/>
  </r>
  <r>
    <x v="1"/>
    <x v="2"/>
    <s v="Advanced"/>
    <m/>
    <s v="RF"/>
    <x v="1"/>
    <s v="BLAZER Open Irrigated"/>
    <x v="2"/>
    <n v="50"/>
  </r>
  <r>
    <x v="1"/>
    <x v="2"/>
    <s v="Advanced"/>
    <m/>
    <s v="RF"/>
    <x v="2"/>
    <s v="ThermoCool SmartTouch SF"/>
    <x v="0"/>
    <n v="73020"/>
  </r>
  <r>
    <x v="1"/>
    <x v="2"/>
    <s v="Advanced"/>
    <m/>
    <s v="RF"/>
    <x v="2"/>
    <s v="ThermoCool SmartTouch"/>
    <x v="0"/>
    <n v="2120"/>
  </r>
  <r>
    <x v="1"/>
    <x v="2"/>
    <s v="Advanced"/>
    <m/>
    <s v="RF"/>
    <x v="2"/>
    <s v="ThermoCool SF NAV"/>
    <x v="0"/>
    <n v="410"/>
  </r>
  <r>
    <x v="1"/>
    <x v="2"/>
    <s v="Advanced"/>
    <m/>
    <s v="RF"/>
    <x v="2"/>
    <s v="ThermoCool SF"/>
    <x v="0"/>
    <n v="840"/>
  </r>
  <r>
    <x v="1"/>
    <x v="2"/>
    <s v="Advanced"/>
    <m/>
    <s v="RF"/>
    <x v="2"/>
    <s v="QDOT"/>
    <x v="0"/>
    <n v="49050"/>
  </r>
  <r>
    <x v="1"/>
    <x v="2"/>
    <s v="Advanced"/>
    <m/>
    <s v="RF"/>
    <x v="2"/>
    <s v="NaviStar ThermoCool"/>
    <x v="0"/>
    <n v="90"/>
  </r>
  <r>
    <x v="1"/>
    <x v="2"/>
    <s v="Advanced"/>
    <m/>
    <s v="RF"/>
    <x v="2"/>
    <s v="NaviStar RMT ThermoCool"/>
    <x v="0"/>
    <n v="930"/>
  </r>
  <r>
    <x v="1"/>
    <x v="2"/>
    <s v="Advanced"/>
    <m/>
    <s v="RF"/>
    <x v="2"/>
    <s v="EZ Steer ThermoCool NAV"/>
    <x v="0"/>
    <n v="150"/>
  </r>
  <r>
    <x v="1"/>
    <x v="2"/>
    <s v="Advanced"/>
    <m/>
    <s v="RF"/>
    <x v="2"/>
    <s v="EZ Steer ThermoCool"/>
    <x v="0"/>
    <n v="370"/>
  </r>
  <r>
    <x v="1"/>
    <x v="2"/>
    <s v="Advanced"/>
    <m/>
    <s v="RF"/>
    <x v="2"/>
    <s v="Celsius ThermoCool RMT"/>
    <x v="0"/>
    <n v="240"/>
  </r>
  <r>
    <x v="1"/>
    <x v="2"/>
    <s v="Advanced"/>
    <m/>
    <s v="RF"/>
    <x v="2"/>
    <s v="Celsius ThermoCool"/>
    <x v="0"/>
    <n v="300"/>
  </r>
  <r>
    <x v="1"/>
    <x v="2"/>
    <s v="Advanced"/>
    <m/>
    <s v="RF"/>
    <x v="2"/>
    <s v="ThermoCool SmartTouch SF"/>
    <x v="1"/>
    <n v="113410"/>
  </r>
  <r>
    <x v="1"/>
    <x v="2"/>
    <s v="Advanced"/>
    <m/>
    <s v="RF"/>
    <x v="2"/>
    <s v="ThermoCool SmartTouch"/>
    <x v="1"/>
    <n v="3830"/>
  </r>
  <r>
    <x v="1"/>
    <x v="2"/>
    <s v="Advanced"/>
    <m/>
    <s v="RF"/>
    <x v="2"/>
    <s v="ThermoCool SF NAV"/>
    <x v="1"/>
    <n v="620"/>
  </r>
  <r>
    <x v="1"/>
    <x v="2"/>
    <s v="Advanced"/>
    <m/>
    <s v="RF"/>
    <x v="2"/>
    <s v="ThermoCool SF"/>
    <x v="1"/>
    <n v="790"/>
  </r>
  <r>
    <x v="1"/>
    <x v="2"/>
    <s v="Advanced"/>
    <m/>
    <s v="RF"/>
    <x v="2"/>
    <s v="QDOT"/>
    <x v="1"/>
    <n v="9320"/>
  </r>
  <r>
    <x v="1"/>
    <x v="2"/>
    <s v="Advanced"/>
    <m/>
    <s v="RF"/>
    <x v="2"/>
    <s v="NaviStar ThermoCool"/>
    <x v="1"/>
    <n v="100"/>
  </r>
  <r>
    <x v="1"/>
    <x v="2"/>
    <s v="Advanced"/>
    <m/>
    <s v="RF"/>
    <x v="2"/>
    <s v="NaviStar RMT ThermoCool"/>
    <x v="1"/>
    <n v="980"/>
  </r>
  <r>
    <x v="1"/>
    <x v="2"/>
    <s v="Advanced"/>
    <m/>
    <s v="RF"/>
    <x v="2"/>
    <s v="EZ Steer ThermoCool NAV"/>
    <x v="1"/>
    <n v="130"/>
  </r>
  <r>
    <x v="1"/>
    <x v="2"/>
    <s v="Advanced"/>
    <m/>
    <s v="RF"/>
    <x v="2"/>
    <s v="EZ Steer ThermoCool"/>
    <x v="1"/>
    <n v="400"/>
  </r>
  <r>
    <x v="1"/>
    <x v="2"/>
    <s v="Advanced"/>
    <m/>
    <s v="RF"/>
    <x v="2"/>
    <s v="Celsius ThermoCool RMT"/>
    <x v="1"/>
    <n v="250"/>
  </r>
  <r>
    <x v="1"/>
    <x v="2"/>
    <s v="Advanced"/>
    <m/>
    <s v="RF"/>
    <x v="2"/>
    <s v="Celsius ThermoCool"/>
    <x v="1"/>
    <n v="300"/>
  </r>
  <r>
    <x v="1"/>
    <x v="2"/>
    <s v="Advanced"/>
    <m/>
    <s v="RF"/>
    <x v="2"/>
    <s v="ThermoCool SmartTouch SF"/>
    <x v="2"/>
    <n v="102770"/>
  </r>
  <r>
    <x v="1"/>
    <x v="2"/>
    <s v="Advanced"/>
    <m/>
    <s v="RF"/>
    <x v="2"/>
    <s v="ThermoCool SmartTouch"/>
    <x v="2"/>
    <n v="4810"/>
  </r>
  <r>
    <x v="1"/>
    <x v="2"/>
    <s v="Advanced"/>
    <m/>
    <s v="RF"/>
    <x v="2"/>
    <s v="ThermoCool SF NAV"/>
    <x v="2"/>
    <n v="730"/>
  </r>
  <r>
    <x v="1"/>
    <x v="2"/>
    <s v="Advanced"/>
    <m/>
    <s v="RF"/>
    <x v="2"/>
    <s v="ThermoCool SF"/>
    <x v="2"/>
    <n v="800"/>
  </r>
  <r>
    <x v="1"/>
    <x v="2"/>
    <s v="Advanced"/>
    <m/>
    <s v="RF"/>
    <x v="2"/>
    <s v="NaviStar ThermoCool"/>
    <x v="2"/>
    <n v="110"/>
  </r>
  <r>
    <x v="1"/>
    <x v="2"/>
    <s v="Advanced"/>
    <m/>
    <s v="RF"/>
    <x v="2"/>
    <s v="NaviStar RMT ThermoCool"/>
    <x v="2"/>
    <n v="1220"/>
  </r>
  <r>
    <x v="1"/>
    <x v="2"/>
    <s v="Advanced"/>
    <m/>
    <s v="RF"/>
    <x v="2"/>
    <s v="EZ Steer ThermoCool NAV"/>
    <x v="2"/>
    <n v="160"/>
  </r>
  <r>
    <x v="1"/>
    <x v="2"/>
    <s v="Advanced"/>
    <m/>
    <s v="RF"/>
    <x v="2"/>
    <s v="EZ Steer ThermoCool"/>
    <x v="2"/>
    <n v="420"/>
  </r>
  <r>
    <x v="1"/>
    <x v="2"/>
    <s v="Advanced"/>
    <m/>
    <s v="RF"/>
    <x v="2"/>
    <s v="Celsius ThermoCool RMT"/>
    <x v="2"/>
    <n v="200"/>
  </r>
  <r>
    <x v="1"/>
    <x v="2"/>
    <s v="Advanced"/>
    <m/>
    <s v="RF"/>
    <x v="2"/>
    <s v="Celsius ThermoCool"/>
    <x v="2"/>
    <n v="310"/>
  </r>
  <r>
    <x v="1"/>
    <x v="2"/>
    <s v="Advanced"/>
    <m/>
    <s v="RF"/>
    <x v="3"/>
    <s v="DiamondTemp"/>
    <x v="0"/>
    <n v="210"/>
  </r>
  <r>
    <x v="1"/>
    <x v="2"/>
    <s v="Advanced"/>
    <m/>
    <s v="RF"/>
    <x v="3"/>
    <s v="DiamondTemp"/>
    <x v="1"/>
    <n v="560"/>
  </r>
  <r>
    <x v="1"/>
    <x v="2"/>
    <s v="Advanced"/>
    <m/>
    <s v="RF"/>
    <x v="3"/>
    <s v="DiamondTemp"/>
    <x v="2"/>
    <n v="530"/>
  </r>
  <r>
    <x v="1"/>
    <x v="3"/>
    <s v="2D"/>
    <s v="Ultrasound"/>
    <m/>
    <x v="0"/>
    <s v="ViewFlex Plus"/>
    <x v="0"/>
    <n v="34390"/>
  </r>
  <r>
    <x v="1"/>
    <x v="3"/>
    <s v="2D"/>
    <s v="Ultrasound"/>
    <m/>
    <x v="0"/>
    <s v="ViewFlex Plus"/>
    <x v="1"/>
    <n v="25950"/>
  </r>
  <r>
    <x v="1"/>
    <x v="3"/>
    <s v="2D"/>
    <s v="Ultrasound"/>
    <m/>
    <x v="0"/>
    <s v="ViewFlex Plus"/>
    <x v="2"/>
    <n v="23410"/>
  </r>
  <r>
    <x v="1"/>
    <x v="3"/>
    <s v="2D"/>
    <s v="Ultrasound"/>
    <m/>
    <x v="1"/>
    <s v="ULTRA ICE Plus"/>
    <x v="0"/>
    <n v="750"/>
  </r>
  <r>
    <x v="1"/>
    <x v="3"/>
    <s v="2D"/>
    <s v="Ultrasound"/>
    <m/>
    <x v="1"/>
    <s v="ULTRA ICE Plus"/>
    <x v="1"/>
    <n v="750"/>
  </r>
  <r>
    <x v="1"/>
    <x v="3"/>
    <s v="2D"/>
    <s v="Ultrasound"/>
    <m/>
    <x v="1"/>
    <s v="ULTRA ICE Plus"/>
    <x v="2"/>
    <n v="920"/>
  </r>
  <r>
    <x v="1"/>
    <x v="3"/>
    <s v="2D"/>
    <s v="Ultrasound"/>
    <m/>
    <x v="2"/>
    <s v="SoundStar eco"/>
    <x v="0"/>
    <n v="13840"/>
  </r>
  <r>
    <x v="1"/>
    <x v="3"/>
    <s v="2D"/>
    <s v="Ultrasound"/>
    <m/>
    <x v="2"/>
    <s v="SoundStar Crystal"/>
    <x v="0"/>
    <n v="40"/>
  </r>
  <r>
    <x v="1"/>
    <x v="3"/>
    <s v="2D"/>
    <s v="Ultrasound"/>
    <m/>
    <x v="2"/>
    <s v="SoundStar"/>
    <x v="0"/>
    <n v="60940"/>
  </r>
  <r>
    <x v="1"/>
    <x v="3"/>
    <s v="2D"/>
    <s v="Ultrasound"/>
    <m/>
    <x v="2"/>
    <s v="ACUNAV"/>
    <x v="0"/>
    <n v="20670"/>
  </r>
  <r>
    <x v="1"/>
    <x v="3"/>
    <s v="2D"/>
    <s v="Ultrasound"/>
    <m/>
    <x v="2"/>
    <s v="SoundStar eco"/>
    <x v="1"/>
    <n v="10510"/>
  </r>
  <r>
    <x v="1"/>
    <x v="3"/>
    <s v="2D"/>
    <s v="Ultrasound"/>
    <m/>
    <x v="2"/>
    <s v="SoundStar"/>
    <x v="1"/>
    <n v="51280"/>
  </r>
  <r>
    <x v="1"/>
    <x v="3"/>
    <s v="2D"/>
    <s v="Ultrasound"/>
    <m/>
    <x v="2"/>
    <s v="ACUNAV"/>
    <x v="1"/>
    <n v="18740"/>
  </r>
  <r>
    <x v="1"/>
    <x v="3"/>
    <s v="2D"/>
    <s v="Ultrasound"/>
    <m/>
    <x v="2"/>
    <s v="SoundStar eco"/>
    <x v="2"/>
    <n v="9020"/>
  </r>
  <r>
    <x v="1"/>
    <x v="3"/>
    <s v="2D"/>
    <s v="Ultrasound"/>
    <m/>
    <x v="2"/>
    <s v="SoundStar"/>
    <x v="2"/>
    <n v="53390"/>
  </r>
  <r>
    <x v="1"/>
    <x v="3"/>
    <s v="2D"/>
    <s v="Ultrasound"/>
    <m/>
    <x v="2"/>
    <s v="ACUNAV"/>
    <x v="2"/>
    <n v="18270"/>
  </r>
  <r>
    <x v="1"/>
    <x v="3"/>
    <s v="3D/4D"/>
    <s v="Ultrasound"/>
    <m/>
    <x v="2"/>
    <s v="NuVision Catheter"/>
    <x v="0"/>
    <n v="3600"/>
  </r>
  <r>
    <x v="1"/>
    <x v="3"/>
    <s v="3D/4D"/>
    <s v="Ultrasound"/>
    <m/>
    <x v="2"/>
    <s v="NuVision"/>
    <x v="0"/>
    <n v="0"/>
  </r>
  <r>
    <x v="1"/>
    <x v="3"/>
    <s v="3D/4D"/>
    <s v="Ultrasound"/>
    <m/>
    <x v="2"/>
    <s v="NuVision Catheter"/>
    <x v="1"/>
    <n v="710"/>
  </r>
  <r>
    <x v="1"/>
    <x v="3"/>
    <s v="3D/4D"/>
    <s v="Ultrasound"/>
    <m/>
    <x v="2"/>
    <s v="NuVision"/>
    <x v="1"/>
    <n v="90"/>
  </r>
  <r>
    <x v="1"/>
    <x v="3"/>
    <s v="3D/4D"/>
    <s v="Ultrasound"/>
    <m/>
    <x v="2"/>
    <s v="NuVision Catheter"/>
    <x v="2"/>
    <n v="4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  <s v="Reference Patch"/>
    <m/>
    <m/>
    <x v="0"/>
    <s v="EnSite X"/>
    <x v="0"/>
    <n v="79679960"/>
  </r>
  <r>
    <x v="0"/>
    <x v="0"/>
    <s v="Reference Patch"/>
    <m/>
    <m/>
    <x v="0"/>
    <s v="EnSite Precision"/>
    <x v="0"/>
    <n v="11191780"/>
  </r>
  <r>
    <x v="0"/>
    <x v="0"/>
    <s v="Reference Patch"/>
    <m/>
    <m/>
    <x v="0"/>
    <s v="EnSite NavX"/>
    <x v="0"/>
    <n v="223390"/>
  </r>
  <r>
    <x v="0"/>
    <x v="0"/>
    <s v="Reference Patch"/>
    <m/>
    <m/>
    <x v="0"/>
    <s v="EnSite X"/>
    <x v="1"/>
    <n v="51092740"/>
  </r>
  <r>
    <x v="0"/>
    <x v="0"/>
    <s v="Reference Patch"/>
    <m/>
    <m/>
    <x v="0"/>
    <s v="EnSite Precision"/>
    <x v="1"/>
    <n v="24532160"/>
  </r>
  <r>
    <x v="0"/>
    <x v="0"/>
    <s v="Reference Patch"/>
    <m/>
    <m/>
    <x v="0"/>
    <s v="EnSite NavX"/>
    <x v="1"/>
    <n v="204750"/>
  </r>
  <r>
    <x v="0"/>
    <x v="0"/>
    <s v="Reference Patch"/>
    <m/>
    <m/>
    <x v="0"/>
    <s v="EnSite NavX"/>
    <x v="1"/>
    <n v="20550"/>
  </r>
  <r>
    <x v="0"/>
    <x v="0"/>
    <s v="Reference Patch"/>
    <m/>
    <m/>
    <x v="0"/>
    <s v="EnSite X"/>
    <x v="2"/>
    <n v="25250070"/>
  </r>
  <r>
    <x v="0"/>
    <x v="0"/>
    <s v="Reference Patch"/>
    <m/>
    <m/>
    <x v="0"/>
    <s v="EnSite Precision"/>
    <x v="2"/>
    <n v="42594610"/>
  </r>
  <r>
    <x v="0"/>
    <x v="0"/>
    <s v="Reference Patch"/>
    <m/>
    <m/>
    <x v="0"/>
    <s v="EnSite NavX"/>
    <x v="2"/>
    <n v="253740"/>
  </r>
  <r>
    <x v="0"/>
    <x v="0"/>
    <s v="Reference Patch"/>
    <m/>
    <m/>
    <x v="0"/>
    <s v="EnSite NavX"/>
    <x v="2"/>
    <n v="153270"/>
  </r>
  <r>
    <x v="0"/>
    <x v="0"/>
    <s v="Reference Patch"/>
    <m/>
    <m/>
    <x v="1"/>
    <s v="Rhythmia"/>
    <x v="0"/>
    <n v="3810280"/>
  </r>
  <r>
    <x v="0"/>
    <x v="0"/>
    <s v="Reference Patch"/>
    <m/>
    <m/>
    <x v="1"/>
    <s v="Rhythmia"/>
    <x v="1"/>
    <n v="3137830"/>
  </r>
  <r>
    <x v="0"/>
    <x v="0"/>
    <s v="Reference Patch"/>
    <m/>
    <m/>
    <x v="1"/>
    <s v="Rhythmia"/>
    <x v="2"/>
    <n v="2876790"/>
  </r>
  <r>
    <x v="0"/>
    <x v="0"/>
    <s v="Reference Patch"/>
    <m/>
    <m/>
    <x v="2"/>
    <s v="Carto 3"/>
    <x v="0"/>
    <n v="75274380"/>
  </r>
  <r>
    <x v="0"/>
    <x v="0"/>
    <s v="Reference Patch"/>
    <m/>
    <m/>
    <x v="2"/>
    <s v="Carto 3"/>
    <x v="1"/>
    <n v="63374780"/>
  </r>
  <r>
    <x v="0"/>
    <x v="0"/>
    <s v="Reference Patch"/>
    <m/>
    <m/>
    <x v="2"/>
    <s v="Carto 3"/>
    <x v="2"/>
    <n v="53121150"/>
  </r>
  <r>
    <x v="0"/>
    <x v="0"/>
    <s v="Reference Patch"/>
    <m/>
    <m/>
    <x v="3"/>
    <s v="Affera"/>
    <x v="0"/>
    <n v="386840"/>
  </r>
  <r>
    <x v="0"/>
    <x v="1"/>
    <s v="Advanced"/>
    <s v="Advanced/3D mapping"/>
    <m/>
    <x v="0"/>
    <s v="Advisor HD Grid X"/>
    <x v="0"/>
    <n v="313670"/>
  </r>
  <r>
    <x v="0"/>
    <x v="1"/>
    <s v="Advanced"/>
    <s v="Advanced/3D mapping"/>
    <m/>
    <x v="0"/>
    <s v="Advisor HD"/>
    <x v="0"/>
    <n v="77878860"/>
  </r>
  <r>
    <x v="0"/>
    <x v="1"/>
    <s v="Advanced"/>
    <s v="Advanced/3D mapping"/>
    <m/>
    <x v="0"/>
    <s v="Livewire"/>
    <x v="1"/>
    <n v="160"/>
  </r>
  <r>
    <x v="0"/>
    <x v="1"/>
    <s v="Advanced"/>
    <s v="Advanced/3D mapping"/>
    <m/>
    <x v="0"/>
    <s v="FIRMap"/>
    <x v="1"/>
    <n v="79340"/>
  </r>
  <r>
    <x v="0"/>
    <x v="1"/>
    <s v="Advanced"/>
    <s v="Advanced/3D mapping"/>
    <m/>
    <x v="0"/>
    <s v="Advisor HD"/>
    <x v="1"/>
    <n v="54928190"/>
  </r>
  <r>
    <x v="0"/>
    <x v="1"/>
    <s v="Advanced"/>
    <s v="Advanced/3D mapping"/>
    <m/>
    <x v="0"/>
    <s v="Livewire"/>
    <x v="2"/>
    <n v="120"/>
  </r>
  <r>
    <x v="0"/>
    <x v="1"/>
    <s v="Advanced"/>
    <s v="Advanced/3D mapping"/>
    <m/>
    <x v="0"/>
    <s v="FIRMap"/>
    <x v="2"/>
    <n v="271920"/>
  </r>
  <r>
    <x v="0"/>
    <x v="1"/>
    <s v="Advanced"/>
    <s v="Advanced/3D mapping"/>
    <m/>
    <x v="0"/>
    <s v="Advisor HD"/>
    <x v="2"/>
    <n v="46333200"/>
  </r>
  <r>
    <x v="0"/>
    <x v="1"/>
    <s v="Advanced"/>
    <s v="Advanced/3D mapping"/>
    <m/>
    <x v="1"/>
    <s v="IntellaMap Orion"/>
    <x v="0"/>
    <n v="10124540"/>
  </r>
  <r>
    <x v="0"/>
    <x v="1"/>
    <s v="Advanced"/>
    <s v="Advanced/3D mapping"/>
    <m/>
    <x v="1"/>
    <s v="IntellaMap Orion"/>
    <x v="1"/>
    <n v="10072060"/>
  </r>
  <r>
    <x v="0"/>
    <x v="1"/>
    <s v="Advanced"/>
    <s v="Advanced/3D mapping"/>
    <m/>
    <x v="1"/>
    <s v="IntellaMap Orion"/>
    <x v="2"/>
    <n v="8951230"/>
  </r>
  <r>
    <x v="0"/>
    <x v="1"/>
    <s v="Advanced"/>
    <s v="Advanced/3D mapping"/>
    <m/>
    <x v="1"/>
    <s v="CONSTELLATION"/>
    <x v="2"/>
    <n v="67260"/>
  </r>
  <r>
    <x v="0"/>
    <x v="1"/>
    <s v="Advanced"/>
    <s v="Advanced/3D mapping"/>
    <m/>
    <x v="2"/>
    <s v="Pentaray NAV eco"/>
    <x v="0"/>
    <n v="47255160"/>
  </r>
  <r>
    <x v="0"/>
    <x v="1"/>
    <s v="Advanced"/>
    <s v="Advanced/3D mapping"/>
    <m/>
    <x v="2"/>
    <s v="Optrell"/>
    <x v="0"/>
    <n v="20151810"/>
  </r>
  <r>
    <x v="0"/>
    <x v="1"/>
    <s v="Advanced"/>
    <s v="Advanced/3D mapping"/>
    <m/>
    <x v="2"/>
    <s v="OCTARAY"/>
    <x v="0"/>
    <n v="178624450"/>
  </r>
  <r>
    <x v="0"/>
    <x v="1"/>
    <s v="Advanced"/>
    <s v="Advanced/3D mapping"/>
    <m/>
    <x v="2"/>
    <s v="DECANAV"/>
    <x v="0"/>
    <n v="52923000"/>
  </r>
  <r>
    <x v="0"/>
    <x v="1"/>
    <s v="Advanced"/>
    <s v="Advanced/3D mapping"/>
    <m/>
    <x v="2"/>
    <s v="Pentaray NAV eco"/>
    <x v="1"/>
    <n v="60475060"/>
  </r>
  <r>
    <x v="0"/>
    <x v="1"/>
    <s v="Advanced"/>
    <s v="Advanced/3D mapping"/>
    <m/>
    <x v="2"/>
    <s v="Optrell"/>
    <x v="1"/>
    <n v="14129430"/>
  </r>
  <r>
    <x v="0"/>
    <x v="1"/>
    <s v="Advanced"/>
    <s v="Advanced/3D mapping"/>
    <m/>
    <x v="2"/>
    <s v="OCTARAY"/>
    <x v="1"/>
    <n v="130810390"/>
  </r>
  <r>
    <x v="0"/>
    <x v="1"/>
    <s v="Advanced"/>
    <s v="Advanced/3D mapping"/>
    <m/>
    <x v="2"/>
    <s v="DECANAV"/>
    <x v="1"/>
    <n v="43951590"/>
  </r>
  <r>
    <x v="0"/>
    <x v="1"/>
    <s v="Advanced"/>
    <s v="Advanced/3D mapping"/>
    <m/>
    <x v="2"/>
    <s v="Pentaray NAV eco"/>
    <x v="2"/>
    <n v="105124720"/>
  </r>
  <r>
    <x v="0"/>
    <x v="1"/>
    <s v="Advanced"/>
    <s v="Advanced/3D mapping"/>
    <m/>
    <x v="2"/>
    <s v="Optrell"/>
    <x v="2"/>
    <n v="732200"/>
  </r>
  <r>
    <x v="0"/>
    <x v="1"/>
    <s v="Advanced"/>
    <s v="Advanced/3D mapping"/>
    <m/>
    <x v="2"/>
    <s v="OCTARAY"/>
    <x v="2"/>
    <n v="40335290"/>
  </r>
  <r>
    <x v="0"/>
    <x v="1"/>
    <s v="Advanced"/>
    <s v="Advanced/3D mapping"/>
    <m/>
    <x v="2"/>
    <s v="DECANAV"/>
    <x v="2"/>
    <n v="33955890"/>
  </r>
  <r>
    <x v="0"/>
    <x v="1"/>
    <s v="Advanced"/>
    <s v="Loop"/>
    <m/>
    <x v="0"/>
    <s v="Reflexion Spiral"/>
    <x v="0"/>
    <n v="197850"/>
  </r>
  <r>
    <x v="0"/>
    <x v="1"/>
    <s v="Advanced"/>
    <s v="Loop"/>
    <m/>
    <x v="0"/>
    <s v="Reflexion HD"/>
    <x v="0"/>
    <n v="3890"/>
  </r>
  <r>
    <x v="0"/>
    <x v="1"/>
    <s v="Advanced"/>
    <s v="Loop"/>
    <m/>
    <x v="0"/>
    <s v="Afocus"/>
    <x v="0"/>
    <n v="1018350"/>
  </r>
  <r>
    <x v="0"/>
    <x v="1"/>
    <s v="Advanced"/>
    <s v="Loop"/>
    <m/>
    <x v="0"/>
    <s v="Advisor VL"/>
    <x v="0"/>
    <n v="2649850"/>
  </r>
  <r>
    <x v="0"/>
    <x v="1"/>
    <s v="Advanced"/>
    <s v="Loop"/>
    <m/>
    <x v="0"/>
    <s v="Advisor FL"/>
    <x v="0"/>
    <n v="1534110"/>
  </r>
  <r>
    <x v="0"/>
    <x v="1"/>
    <s v="Advanced"/>
    <s v="Loop"/>
    <m/>
    <x v="0"/>
    <s v="Reflexion Spiral"/>
    <x v="1"/>
    <n v="436170"/>
  </r>
  <r>
    <x v="0"/>
    <x v="1"/>
    <s v="Advanced"/>
    <s v="Loop"/>
    <m/>
    <x v="0"/>
    <s v="Reflexion HD"/>
    <x v="1"/>
    <n v="7950"/>
  </r>
  <r>
    <x v="0"/>
    <x v="1"/>
    <s v="Advanced"/>
    <s v="Loop"/>
    <m/>
    <x v="0"/>
    <s v="Optima"/>
    <x v="1"/>
    <n v="34270"/>
  </r>
  <r>
    <x v="0"/>
    <x v="1"/>
    <s v="Advanced"/>
    <s v="Loop"/>
    <m/>
    <x v="0"/>
    <s v="Afocus"/>
    <x v="1"/>
    <n v="375670"/>
  </r>
  <r>
    <x v="0"/>
    <x v="1"/>
    <s v="Advanced"/>
    <s v="Loop"/>
    <m/>
    <x v="0"/>
    <s v="Advisor VL"/>
    <x v="1"/>
    <n v="2087000"/>
  </r>
  <r>
    <x v="0"/>
    <x v="1"/>
    <s v="Advanced"/>
    <s v="Loop"/>
    <m/>
    <x v="0"/>
    <s v="Advisor FL"/>
    <x v="1"/>
    <n v="720960"/>
  </r>
  <r>
    <x v="0"/>
    <x v="1"/>
    <s v="Advanced"/>
    <s v="Loop"/>
    <m/>
    <x v="0"/>
    <s v="Reflexion Spiral"/>
    <x v="2"/>
    <n v="1243120"/>
  </r>
  <r>
    <x v="0"/>
    <x v="1"/>
    <s v="Advanced"/>
    <s v="Loop"/>
    <m/>
    <x v="0"/>
    <s v="Reflexion HD"/>
    <x v="2"/>
    <n v="91800"/>
  </r>
  <r>
    <x v="0"/>
    <x v="1"/>
    <s v="Advanced"/>
    <s v="Loop"/>
    <m/>
    <x v="0"/>
    <s v="Optima"/>
    <x v="2"/>
    <n v="148000"/>
  </r>
  <r>
    <x v="0"/>
    <x v="1"/>
    <s v="Advanced"/>
    <s v="Loop"/>
    <m/>
    <x v="0"/>
    <s v="Afocus"/>
    <x v="2"/>
    <n v="625810"/>
  </r>
  <r>
    <x v="0"/>
    <x v="1"/>
    <s v="Advanced"/>
    <s v="Loop"/>
    <m/>
    <x v="0"/>
    <s v="Advisor VL"/>
    <x v="2"/>
    <n v="1774430"/>
  </r>
  <r>
    <x v="0"/>
    <x v="1"/>
    <s v="Advanced"/>
    <s v="Loop"/>
    <m/>
    <x v="0"/>
    <s v="Advisor FL"/>
    <x v="2"/>
    <n v="749270"/>
  </r>
  <r>
    <x v="0"/>
    <x v="1"/>
    <s v="Advanced"/>
    <s v="Loop"/>
    <m/>
    <x v="1"/>
    <s v="POLARMAP"/>
    <x v="0"/>
    <n v="1294850"/>
  </r>
  <r>
    <x v="0"/>
    <x v="1"/>
    <s v="Advanced"/>
    <s v="Loop"/>
    <m/>
    <x v="1"/>
    <s v="POLARMAP"/>
    <x v="1"/>
    <n v="1207150"/>
  </r>
  <r>
    <x v="0"/>
    <x v="1"/>
    <s v="Advanced"/>
    <s v="Loop"/>
    <m/>
    <x v="1"/>
    <s v="POLARMAP"/>
    <x v="2"/>
    <n v="8550"/>
  </r>
  <r>
    <x v="0"/>
    <x v="1"/>
    <s v="Advanced"/>
    <s v="Loop"/>
    <m/>
    <x v="2"/>
    <s v="Lasso Nav eco EO"/>
    <x v="0"/>
    <n v="381890"/>
  </r>
  <r>
    <x v="0"/>
    <x v="1"/>
    <s v="Advanced"/>
    <s v="Loop"/>
    <m/>
    <x v="2"/>
    <s v="Lasso Nav eco"/>
    <x v="0"/>
    <n v="738460"/>
  </r>
  <r>
    <x v="0"/>
    <x v="1"/>
    <s v="Advanced"/>
    <s v="Loop"/>
    <m/>
    <x v="2"/>
    <s v="Lasso NAV"/>
    <x v="0"/>
    <n v="537890"/>
  </r>
  <r>
    <x v="0"/>
    <x v="1"/>
    <s v="Advanced"/>
    <s v="Loop"/>
    <m/>
    <x v="2"/>
    <s v="Lasso 2515 Variable Circular"/>
    <x v="0"/>
    <n v="178670"/>
  </r>
  <r>
    <x v="0"/>
    <x v="1"/>
    <s v="Advanced"/>
    <s v="Loop"/>
    <m/>
    <x v="2"/>
    <s v="Lasso 2515 Nav eco Variable"/>
    <x v="0"/>
    <n v="5857780"/>
  </r>
  <r>
    <x v="0"/>
    <x v="1"/>
    <s v="Advanced"/>
    <s v="Loop"/>
    <m/>
    <x v="2"/>
    <s v="Lasso"/>
    <x v="0"/>
    <n v="67150"/>
  </r>
  <r>
    <x v="0"/>
    <x v="1"/>
    <s v="Advanced"/>
    <s v="Loop"/>
    <m/>
    <x v="2"/>
    <s v="Lasso Nav eco EO"/>
    <x v="1"/>
    <n v="434030"/>
  </r>
  <r>
    <x v="0"/>
    <x v="1"/>
    <s v="Advanced"/>
    <s v="Loop"/>
    <m/>
    <x v="2"/>
    <s v="Lasso Nav eco"/>
    <x v="1"/>
    <n v="1022730"/>
  </r>
  <r>
    <x v="0"/>
    <x v="1"/>
    <s v="Advanced"/>
    <s v="Loop"/>
    <m/>
    <x v="2"/>
    <s v="Lasso NAV"/>
    <x v="1"/>
    <n v="526140"/>
  </r>
  <r>
    <x v="0"/>
    <x v="1"/>
    <s v="Advanced"/>
    <s v="Loop"/>
    <m/>
    <x v="2"/>
    <s v="Lasso 2515 Variable Circular"/>
    <x v="1"/>
    <n v="435520"/>
  </r>
  <r>
    <x v="0"/>
    <x v="1"/>
    <s v="Advanced"/>
    <s v="Loop"/>
    <m/>
    <x v="2"/>
    <s v="Lasso 2515 Nav eco Variable"/>
    <x v="1"/>
    <n v="7143870"/>
  </r>
  <r>
    <x v="0"/>
    <x v="1"/>
    <s v="Advanced"/>
    <s v="Loop"/>
    <m/>
    <x v="2"/>
    <s v="Lasso"/>
    <x v="1"/>
    <n v="117290"/>
  </r>
  <r>
    <x v="0"/>
    <x v="1"/>
    <s v="Advanced"/>
    <s v="Loop"/>
    <m/>
    <x v="2"/>
    <s v="Lasso Nav eco EO"/>
    <x v="2"/>
    <n v="355450"/>
  </r>
  <r>
    <x v="0"/>
    <x v="1"/>
    <s v="Advanced"/>
    <s v="Loop"/>
    <m/>
    <x v="2"/>
    <s v="Lasso Nav eco"/>
    <x v="2"/>
    <n v="1189790"/>
  </r>
  <r>
    <x v="0"/>
    <x v="1"/>
    <s v="Advanced"/>
    <s v="Loop"/>
    <m/>
    <x v="2"/>
    <s v="Lasso NAV"/>
    <x v="2"/>
    <n v="59250"/>
  </r>
  <r>
    <x v="0"/>
    <x v="1"/>
    <s v="Advanced"/>
    <s v="Loop"/>
    <m/>
    <x v="2"/>
    <s v="Lasso 2515 Variable Circular"/>
    <x v="2"/>
    <n v="590750"/>
  </r>
  <r>
    <x v="0"/>
    <x v="1"/>
    <s v="Advanced"/>
    <s v="Loop"/>
    <m/>
    <x v="2"/>
    <s v="Lasso 2515 Nav eco Variable"/>
    <x v="2"/>
    <n v="10004540"/>
  </r>
  <r>
    <x v="0"/>
    <x v="1"/>
    <s v="Advanced"/>
    <s v="Loop"/>
    <m/>
    <x v="2"/>
    <s v="Lasso"/>
    <x v="2"/>
    <n v="125020"/>
  </r>
  <r>
    <x v="0"/>
    <x v="1"/>
    <s v="Advanced"/>
    <s v="Loop"/>
    <m/>
    <x v="3"/>
    <s v="Achieve"/>
    <x v="0"/>
    <n v="13239870"/>
  </r>
  <r>
    <x v="0"/>
    <x v="1"/>
    <s v="Advanced"/>
    <s v="Loop"/>
    <m/>
    <x v="3"/>
    <s v="Achieve"/>
    <x v="1"/>
    <n v="23162650"/>
  </r>
  <r>
    <x v="0"/>
    <x v="1"/>
    <s v="Advanced"/>
    <s v="Loop"/>
    <m/>
    <x v="3"/>
    <s v="Achieve"/>
    <x v="2"/>
    <n v="22554970"/>
  </r>
  <r>
    <x v="0"/>
    <x v="2"/>
    <s v="Advanced"/>
    <m/>
    <s v="Cryo"/>
    <x v="1"/>
    <s v="POLARx Fit ST"/>
    <x v="0"/>
    <n v="6932970"/>
  </r>
  <r>
    <x v="0"/>
    <x v="2"/>
    <s v="Advanced"/>
    <m/>
    <s v="Cryo"/>
    <x v="1"/>
    <s v="POLARx Fit LT"/>
    <x v="0"/>
    <n v="464940"/>
  </r>
  <r>
    <x v="0"/>
    <x v="2"/>
    <s v="Advanced"/>
    <m/>
    <s v="Cryo"/>
    <x v="1"/>
    <s v="POLARx Fit ST"/>
    <x v="1"/>
    <n v="5616740"/>
  </r>
  <r>
    <x v="0"/>
    <x v="2"/>
    <s v="Advanced"/>
    <m/>
    <s v="Cryo"/>
    <x v="1"/>
    <s v="POLARx Fit LT"/>
    <x v="1"/>
    <n v="1022390"/>
  </r>
  <r>
    <x v="0"/>
    <x v="2"/>
    <s v="Advanced"/>
    <m/>
    <s v="Cryo"/>
    <x v="1"/>
    <s v="POLARx Fit ST"/>
    <x v="2"/>
    <n v="31890"/>
  </r>
  <r>
    <x v="0"/>
    <x v="2"/>
    <s v="Advanced"/>
    <m/>
    <s v="Cryo"/>
    <x v="1"/>
    <s v="POLARx Fit LT"/>
    <x v="2"/>
    <n v="90170"/>
  </r>
  <r>
    <x v="0"/>
    <x v="2"/>
    <s v="Advanced"/>
    <m/>
    <s v="Cryo"/>
    <x v="3"/>
    <s v="Freezor Xtra"/>
    <x v="0"/>
    <n v="2827190"/>
  </r>
  <r>
    <x v="0"/>
    <x v="2"/>
    <s v="Advanced"/>
    <m/>
    <s v="Cryo"/>
    <x v="3"/>
    <s v="Freezor Max"/>
    <x v="0"/>
    <n v="926850"/>
  </r>
  <r>
    <x v="0"/>
    <x v="2"/>
    <s v="Advanced"/>
    <m/>
    <s v="Cryo"/>
    <x v="3"/>
    <s v="Freezor"/>
    <x v="0"/>
    <n v="473000"/>
  </r>
  <r>
    <x v="0"/>
    <x v="2"/>
    <s v="Advanced"/>
    <m/>
    <s v="Cryo"/>
    <x v="3"/>
    <s v="Arctic Front Advance Pro"/>
    <x v="0"/>
    <n v="66606150"/>
  </r>
  <r>
    <x v="0"/>
    <x v="2"/>
    <s v="Advanced"/>
    <m/>
    <s v="Cryo"/>
    <x v="3"/>
    <s v="Arctic Front Advance"/>
    <x v="0"/>
    <n v="10448680"/>
  </r>
  <r>
    <x v="0"/>
    <x v="2"/>
    <s v="Advanced"/>
    <m/>
    <s v="Cryo"/>
    <x v="3"/>
    <s v="Freezor Xtra"/>
    <x v="1"/>
    <n v="2777550"/>
  </r>
  <r>
    <x v="0"/>
    <x v="2"/>
    <s v="Advanced"/>
    <m/>
    <s v="Cryo"/>
    <x v="3"/>
    <s v="Freezor Max"/>
    <x v="1"/>
    <n v="942340"/>
  </r>
  <r>
    <x v="0"/>
    <x v="2"/>
    <s v="Advanced"/>
    <m/>
    <s v="Cryo"/>
    <x v="3"/>
    <s v="Freezor"/>
    <x v="1"/>
    <n v="929310"/>
  </r>
  <r>
    <x v="0"/>
    <x v="2"/>
    <s v="Advanced"/>
    <m/>
    <s v="Cryo"/>
    <x v="3"/>
    <s v="Arctic Front Advance Pro"/>
    <x v="1"/>
    <n v="108465210"/>
  </r>
  <r>
    <x v="0"/>
    <x v="2"/>
    <s v="Advanced"/>
    <m/>
    <s v="Cryo"/>
    <x v="3"/>
    <s v="Arctic Front Advance"/>
    <x v="1"/>
    <n v="20441760"/>
  </r>
  <r>
    <x v="0"/>
    <x v="2"/>
    <s v="Advanced"/>
    <m/>
    <s v="Cryo"/>
    <x v="3"/>
    <s v="Arctic Front"/>
    <x v="1"/>
    <n v="19720"/>
  </r>
  <r>
    <x v="0"/>
    <x v="2"/>
    <s v="Advanced"/>
    <m/>
    <s v="Cryo"/>
    <x v="3"/>
    <s v="Freezor Xtra"/>
    <x v="2"/>
    <n v="723000"/>
  </r>
  <r>
    <x v="0"/>
    <x v="2"/>
    <s v="Advanced"/>
    <m/>
    <s v="Cryo"/>
    <x v="3"/>
    <s v="Freezor Max"/>
    <x v="2"/>
    <n v="975080"/>
  </r>
  <r>
    <x v="0"/>
    <x v="2"/>
    <s v="Advanced"/>
    <m/>
    <s v="Cryo"/>
    <x v="3"/>
    <s v="Freezor"/>
    <x v="2"/>
    <n v="2865920"/>
  </r>
  <r>
    <x v="0"/>
    <x v="2"/>
    <s v="Advanced"/>
    <m/>
    <s v="Cryo"/>
    <x v="3"/>
    <s v="Arctic Front Advance Pro"/>
    <x v="2"/>
    <n v="95370390"/>
  </r>
  <r>
    <x v="0"/>
    <x v="2"/>
    <s v="Advanced"/>
    <m/>
    <s v="Cryo"/>
    <x v="3"/>
    <s v="Arctic Front Advance"/>
    <x v="2"/>
    <n v="27022320"/>
  </r>
  <r>
    <x v="0"/>
    <x v="2"/>
    <s v="Advanced"/>
    <m/>
    <s v="PFA"/>
    <x v="1"/>
    <s v="FaraWave Nav"/>
    <x v="0"/>
    <n v="4924670"/>
  </r>
  <r>
    <x v="0"/>
    <x v="2"/>
    <s v="Advanced"/>
    <m/>
    <s v="PFA"/>
    <x v="1"/>
    <s v="FaraWave"/>
    <x v="0"/>
    <n v="382421150"/>
  </r>
  <r>
    <x v="0"/>
    <x v="2"/>
    <s v="Advanced"/>
    <m/>
    <s v="PFA"/>
    <x v="1"/>
    <s v="Farapoint"/>
    <x v="0"/>
    <n v="62620"/>
  </r>
  <r>
    <x v="0"/>
    <x v="2"/>
    <s v="Advanced"/>
    <m/>
    <s v="PFA"/>
    <x v="1"/>
    <s v="FaraWave"/>
    <x v="1"/>
    <n v="197720"/>
  </r>
  <r>
    <x v="0"/>
    <x v="2"/>
    <s v="Advanced"/>
    <m/>
    <s v="PFA"/>
    <x v="2"/>
    <s v="Varipulse"/>
    <x v="0"/>
    <n v="1099380"/>
  </r>
  <r>
    <x v="0"/>
    <x v="2"/>
    <s v="Advanced"/>
    <m/>
    <s v="PFA"/>
    <x v="3"/>
    <s v="Sphere-9"/>
    <x v="0"/>
    <n v="2431870"/>
  </r>
  <r>
    <x v="0"/>
    <x v="2"/>
    <s v="Advanced"/>
    <m/>
    <s v="PFA"/>
    <x v="3"/>
    <s v="PulseSelect"/>
    <x v="0"/>
    <n v="56454910"/>
  </r>
  <r>
    <x v="0"/>
    <x v="2"/>
    <s v="Advanced"/>
    <m/>
    <s v="RF"/>
    <x v="0"/>
    <s v="Therapy Cool Path"/>
    <x v="0"/>
    <n v="11720"/>
  </r>
  <r>
    <x v="0"/>
    <x v="2"/>
    <s v="Advanced"/>
    <m/>
    <s v="RF"/>
    <x v="0"/>
    <s v="TactiFlex"/>
    <x v="0"/>
    <n v="113058100"/>
  </r>
  <r>
    <x v="0"/>
    <x v="2"/>
    <s v="Advanced"/>
    <m/>
    <s v="RF"/>
    <x v="0"/>
    <s v="TactiCath Sensor Enabled"/>
    <x v="0"/>
    <n v="39908470"/>
  </r>
  <r>
    <x v="0"/>
    <x v="2"/>
    <s v="Advanced"/>
    <m/>
    <s v="RF"/>
    <x v="0"/>
    <s v="FlexAbility SE"/>
    <x v="0"/>
    <n v="3580870"/>
  </r>
  <r>
    <x v="0"/>
    <x v="2"/>
    <s v="Advanced"/>
    <m/>
    <s v="RF"/>
    <x v="0"/>
    <s v="FlexAbility"/>
    <x v="0"/>
    <n v="3523780"/>
  </r>
  <r>
    <x v="0"/>
    <x v="2"/>
    <s v="Advanced"/>
    <m/>
    <s v="RF"/>
    <x v="0"/>
    <s v="Therapy Cool Path"/>
    <x v="1"/>
    <n v="10130"/>
  </r>
  <r>
    <x v="0"/>
    <x v="2"/>
    <s v="Advanced"/>
    <m/>
    <s v="RF"/>
    <x v="0"/>
    <s v="TactiFlex"/>
    <x v="1"/>
    <n v="31860600"/>
  </r>
  <r>
    <x v="0"/>
    <x v="2"/>
    <s v="Advanced"/>
    <m/>
    <s v="RF"/>
    <x v="0"/>
    <s v="TactiCath Sensor Enabled"/>
    <x v="1"/>
    <n v="90938180"/>
  </r>
  <r>
    <x v="0"/>
    <x v="2"/>
    <s v="Advanced"/>
    <m/>
    <s v="RF"/>
    <x v="0"/>
    <s v="TactiCath Quartz"/>
    <x v="1"/>
    <n v="74160"/>
  </r>
  <r>
    <x v="0"/>
    <x v="2"/>
    <s v="Advanced"/>
    <m/>
    <s v="RF"/>
    <x v="0"/>
    <s v="TactiCath"/>
    <x v="1"/>
    <n v="690"/>
  </r>
  <r>
    <x v="0"/>
    <x v="2"/>
    <s v="Advanced"/>
    <m/>
    <s v="RF"/>
    <x v="0"/>
    <s v="FlexAbility SE"/>
    <x v="1"/>
    <n v="4947910"/>
  </r>
  <r>
    <x v="0"/>
    <x v="2"/>
    <s v="Advanced"/>
    <m/>
    <s v="RF"/>
    <x v="0"/>
    <s v="FlexAbility"/>
    <x v="1"/>
    <n v="4627830"/>
  </r>
  <r>
    <x v="0"/>
    <x v="2"/>
    <s v="Advanced"/>
    <m/>
    <s v="RF"/>
    <x v="0"/>
    <s v="Therapy Cool Path"/>
    <x v="2"/>
    <n v="61970"/>
  </r>
  <r>
    <x v="0"/>
    <x v="2"/>
    <s v="Advanced"/>
    <m/>
    <s v="RF"/>
    <x v="0"/>
    <s v="TactiCath Sensor Enabled"/>
    <x v="2"/>
    <n v="96117010"/>
  </r>
  <r>
    <x v="0"/>
    <x v="2"/>
    <s v="Advanced"/>
    <m/>
    <s v="RF"/>
    <x v="0"/>
    <s v="TactiCath Quartz"/>
    <x v="2"/>
    <n v="155430"/>
  </r>
  <r>
    <x v="0"/>
    <x v="2"/>
    <s v="Advanced"/>
    <m/>
    <s v="RF"/>
    <x v="0"/>
    <s v="TactiCath"/>
    <x v="2"/>
    <n v="1710"/>
  </r>
  <r>
    <x v="0"/>
    <x v="2"/>
    <s v="Advanced"/>
    <m/>
    <s v="RF"/>
    <x v="0"/>
    <s v="FlexAbility SE"/>
    <x v="2"/>
    <n v="5723640"/>
  </r>
  <r>
    <x v="0"/>
    <x v="2"/>
    <s v="Advanced"/>
    <m/>
    <s v="RF"/>
    <x v="0"/>
    <s v="FlexAbility"/>
    <x v="2"/>
    <n v="5427430"/>
  </r>
  <r>
    <x v="0"/>
    <x v="2"/>
    <s v="Advanced"/>
    <m/>
    <s v="RF"/>
    <x v="1"/>
    <s v="IntellaTip MIFI OI"/>
    <x v="0"/>
    <n v="226020"/>
  </r>
  <r>
    <x v="0"/>
    <x v="2"/>
    <s v="Advanced"/>
    <m/>
    <s v="RF"/>
    <x v="1"/>
    <s v="Intellanav OI"/>
    <x v="0"/>
    <n v="50190"/>
  </r>
  <r>
    <x v="0"/>
    <x v="2"/>
    <s v="Advanced"/>
    <m/>
    <s v="RF"/>
    <x v="1"/>
    <s v="Intellanav MIFI OI"/>
    <x v="0"/>
    <n v="6129820"/>
  </r>
  <r>
    <x v="0"/>
    <x v="2"/>
    <s v="Advanced"/>
    <m/>
    <s v="RF"/>
    <x v="1"/>
    <s v="BLAZER Open Irrigated"/>
    <x v="0"/>
    <n v="90240"/>
  </r>
  <r>
    <x v="0"/>
    <x v="2"/>
    <s v="Advanced"/>
    <m/>
    <s v="RF"/>
    <x v="1"/>
    <s v="IntellaTip MIFI OI"/>
    <x v="1"/>
    <n v="311950"/>
  </r>
  <r>
    <x v="0"/>
    <x v="2"/>
    <s v="Advanced"/>
    <m/>
    <s v="RF"/>
    <x v="1"/>
    <s v="Intellanav OI"/>
    <x v="1"/>
    <n v="85320"/>
  </r>
  <r>
    <x v="0"/>
    <x v="2"/>
    <s v="Advanced"/>
    <m/>
    <s v="RF"/>
    <x v="1"/>
    <s v="Intellanav MIFI OI"/>
    <x v="1"/>
    <n v="9237790"/>
  </r>
  <r>
    <x v="0"/>
    <x v="2"/>
    <s v="Advanced"/>
    <m/>
    <s v="RF"/>
    <x v="1"/>
    <s v="BLAZER Open Irrigated"/>
    <x v="1"/>
    <n v="57290"/>
  </r>
  <r>
    <x v="0"/>
    <x v="2"/>
    <s v="Advanced"/>
    <m/>
    <s v="RF"/>
    <x v="1"/>
    <s v="IntellaTip MIFI OI"/>
    <x v="2"/>
    <n v="457730"/>
  </r>
  <r>
    <x v="0"/>
    <x v="2"/>
    <s v="Advanced"/>
    <m/>
    <s v="RF"/>
    <x v="1"/>
    <s v="Intellanav OI"/>
    <x v="2"/>
    <n v="197780"/>
  </r>
  <r>
    <x v="0"/>
    <x v="2"/>
    <s v="Advanced"/>
    <m/>
    <s v="RF"/>
    <x v="1"/>
    <s v="Intellanav MIFI OI"/>
    <x v="2"/>
    <n v="9780080"/>
  </r>
  <r>
    <x v="0"/>
    <x v="2"/>
    <s v="Advanced"/>
    <m/>
    <s v="RF"/>
    <x v="1"/>
    <s v="BLAZER Open Irrigated"/>
    <x v="2"/>
    <n v="68710"/>
  </r>
  <r>
    <x v="0"/>
    <x v="2"/>
    <s v="Advanced"/>
    <m/>
    <s v="RF"/>
    <x v="2"/>
    <s v="ThermoCool SmartTouch SF"/>
    <x v="0"/>
    <n v="248711270"/>
  </r>
  <r>
    <x v="0"/>
    <x v="2"/>
    <s v="Advanced"/>
    <m/>
    <s v="RF"/>
    <x v="2"/>
    <s v="ThermoCool SmartTouch"/>
    <x v="0"/>
    <n v="7306150"/>
  </r>
  <r>
    <x v="0"/>
    <x v="2"/>
    <s v="Advanced"/>
    <m/>
    <s v="RF"/>
    <x v="2"/>
    <s v="ThermoCool SF NAV"/>
    <x v="0"/>
    <n v="1333300"/>
  </r>
  <r>
    <x v="0"/>
    <x v="2"/>
    <s v="Advanced"/>
    <m/>
    <s v="RF"/>
    <x v="2"/>
    <s v="ThermoCool SF"/>
    <x v="0"/>
    <n v="1368950"/>
  </r>
  <r>
    <x v="0"/>
    <x v="2"/>
    <s v="Advanced"/>
    <m/>
    <s v="RF"/>
    <x v="2"/>
    <s v="QDOT"/>
    <x v="0"/>
    <n v="197247730"/>
  </r>
  <r>
    <x v="0"/>
    <x v="2"/>
    <s v="Advanced"/>
    <m/>
    <s v="RF"/>
    <x v="2"/>
    <s v="NaviStar ThermoCool"/>
    <x v="0"/>
    <n v="272000"/>
  </r>
  <r>
    <x v="0"/>
    <x v="2"/>
    <s v="Advanced"/>
    <m/>
    <s v="RF"/>
    <x v="2"/>
    <s v="NaviStar RMT ThermoCool"/>
    <x v="0"/>
    <n v="2864940"/>
  </r>
  <r>
    <x v="0"/>
    <x v="2"/>
    <s v="Advanced"/>
    <m/>
    <s v="RF"/>
    <x v="2"/>
    <s v="EZ Steer ThermoCool NAV"/>
    <x v="0"/>
    <n v="459510"/>
  </r>
  <r>
    <x v="0"/>
    <x v="2"/>
    <s v="Advanced"/>
    <m/>
    <s v="RF"/>
    <x v="2"/>
    <s v="EZ Steer ThermoCool"/>
    <x v="0"/>
    <n v="565190"/>
  </r>
  <r>
    <x v="0"/>
    <x v="2"/>
    <s v="Advanced"/>
    <m/>
    <s v="RF"/>
    <x v="2"/>
    <s v="Celsius ThermoCool RMT"/>
    <x v="0"/>
    <n v="602100"/>
  </r>
  <r>
    <x v="0"/>
    <x v="2"/>
    <s v="Advanced"/>
    <m/>
    <s v="RF"/>
    <x v="2"/>
    <s v="Celsius ThermoCool"/>
    <x v="0"/>
    <n v="403870"/>
  </r>
  <r>
    <x v="0"/>
    <x v="2"/>
    <s v="Advanced"/>
    <m/>
    <s v="RF"/>
    <x v="2"/>
    <s v="ThermoCool SmartTouch SF"/>
    <x v="1"/>
    <n v="376218920"/>
  </r>
  <r>
    <x v="0"/>
    <x v="2"/>
    <s v="Advanced"/>
    <m/>
    <s v="RF"/>
    <x v="2"/>
    <s v="ThermoCool SmartTouch"/>
    <x v="1"/>
    <n v="12645580"/>
  </r>
  <r>
    <x v="0"/>
    <x v="2"/>
    <s v="Advanced"/>
    <m/>
    <s v="RF"/>
    <x v="2"/>
    <s v="ThermoCool SF NAV"/>
    <x v="1"/>
    <n v="1805550"/>
  </r>
  <r>
    <x v="0"/>
    <x v="2"/>
    <s v="Advanced"/>
    <m/>
    <s v="RF"/>
    <x v="2"/>
    <s v="ThermoCool SF"/>
    <x v="1"/>
    <n v="1315050"/>
  </r>
  <r>
    <x v="0"/>
    <x v="2"/>
    <s v="Advanced"/>
    <m/>
    <s v="RF"/>
    <x v="2"/>
    <s v="QDOT"/>
    <x v="1"/>
    <n v="38424700"/>
  </r>
  <r>
    <x v="0"/>
    <x v="2"/>
    <s v="Advanced"/>
    <m/>
    <s v="RF"/>
    <x v="2"/>
    <s v="NaviStar ThermoCool"/>
    <x v="1"/>
    <n v="267500"/>
  </r>
  <r>
    <x v="0"/>
    <x v="2"/>
    <s v="Advanced"/>
    <m/>
    <s v="RF"/>
    <x v="2"/>
    <s v="NaviStar RMT ThermoCool"/>
    <x v="1"/>
    <n v="2916660"/>
  </r>
  <r>
    <x v="0"/>
    <x v="2"/>
    <s v="Advanced"/>
    <m/>
    <s v="RF"/>
    <x v="2"/>
    <s v="EZ Steer ThermoCool NAV"/>
    <x v="1"/>
    <n v="422470"/>
  </r>
  <r>
    <x v="0"/>
    <x v="2"/>
    <s v="Advanced"/>
    <m/>
    <s v="RF"/>
    <x v="2"/>
    <s v="EZ Steer ThermoCool"/>
    <x v="1"/>
    <n v="612200"/>
  </r>
  <r>
    <x v="0"/>
    <x v="2"/>
    <s v="Advanced"/>
    <m/>
    <s v="RF"/>
    <x v="2"/>
    <s v="Celsius ThermoCool RMT"/>
    <x v="1"/>
    <n v="593960"/>
  </r>
  <r>
    <x v="0"/>
    <x v="2"/>
    <s v="Advanced"/>
    <m/>
    <s v="RF"/>
    <x v="2"/>
    <s v="Celsius ThermoCool"/>
    <x v="1"/>
    <n v="406360"/>
  </r>
  <r>
    <x v="0"/>
    <x v="2"/>
    <s v="Advanced"/>
    <m/>
    <s v="RF"/>
    <x v="2"/>
    <s v="ThermoCool SmartTouch SF"/>
    <x v="2"/>
    <n v="337057350"/>
  </r>
  <r>
    <x v="0"/>
    <x v="2"/>
    <s v="Advanced"/>
    <m/>
    <s v="RF"/>
    <x v="2"/>
    <s v="ThermoCool SmartTouch"/>
    <x v="2"/>
    <n v="15516910"/>
  </r>
  <r>
    <x v="0"/>
    <x v="2"/>
    <s v="Advanced"/>
    <m/>
    <s v="RF"/>
    <x v="2"/>
    <s v="ThermoCool SF NAV"/>
    <x v="2"/>
    <n v="1941790"/>
  </r>
  <r>
    <x v="0"/>
    <x v="2"/>
    <s v="Advanced"/>
    <m/>
    <s v="RF"/>
    <x v="2"/>
    <s v="ThermoCool SF"/>
    <x v="2"/>
    <n v="1281230"/>
  </r>
  <r>
    <x v="0"/>
    <x v="2"/>
    <s v="Advanced"/>
    <m/>
    <s v="RF"/>
    <x v="2"/>
    <s v="NaviStar ThermoCool"/>
    <x v="2"/>
    <n v="279370"/>
  </r>
  <r>
    <x v="0"/>
    <x v="2"/>
    <s v="Advanced"/>
    <m/>
    <s v="RF"/>
    <x v="2"/>
    <s v="NaviStar RMT ThermoCool"/>
    <x v="2"/>
    <n v="3606080"/>
  </r>
  <r>
    <x v="0"/>
    <x v="2"/>
    <s v="Advanced"/>
    <m/>
    <s v="RF"/>
    <x v="2"/>
    <s v="EZ Steer ThermoCool NAV"/>
    <x v="2"/>
    <n v="436880"/>
  </r>
  <r>
    <x v="0"/>
    <x v="2"/>
    <s v="Advanced"/>
    <m/>
    <s v="RF"/>
    <x v="2"/>
    <s v="EZ Steer ThermoCool"/>
    <x v="2"/>
    <n v="637940"/>
  </r>
  <r>
    <x v="0"/>
    <x v="2"/>
    <s v="Advanced"/>
    <m/>
    <s v="RF"/>
    <x v="2"/>
    <s v="Celsius ThermoCool RMT"/>
    <x v="2"/>
    <n v="447260"/>
  </r>
  <r>
    <x v="0"/>
    <x v="2"/>
    <s v="Advanced"/>
    <m/>
    <s v="RF"/>
    <x v="2"/>
    <s v="Celsius ThermoCool"/>
    <x v="2"/>
    <n v="410640"/>
  </r>
  <r>
    <x v="0"/>
    <x v="2"/>
    <s v="Advanced"/>
    <m/>
    <s v="RF"/>
    <x v="3"/>
    <s v="DiamondTemp"/>
    <x v="0"/>
    <n v="689120"/>
  </r>
  <r>
    <x v="0"/>
    <x v="2"/>
    <s v="Advanced"/>
    <m/>
    <s v="RF"/>
    <x v="3"/>
    <s v="DiamondTemp"/>
    <x v="1"/>
    <n v="1034920"/>
  </r>
  <r>
    <x v="0"/>
    <x v="2"/>
    <s v="Advanced"/>
    <m/>
    <s v="RF"/>
    <x v="3"/>
    <s v="DiamondTemp"/>
    <x v="2"/>
    <n v="1232110"/>
  </r>
  <r>
    <x v="0"/>
    <x v="3"/>
    <s v="2D"/>
    <s v="Ultrasound"/>
    <m/>
    <x v="0"/>
    <s v="ViewFlex Plus"/>
    <x v="0"/>
    <n v="70541750"/>
  </r>
  <r>
    <x v="0"/>
    <x v="3"/>
    <s v="2D"/>
    <s v="Ultrasound"/>
    <m/>
    <x v="0"/>
    <s v="ViewFlex Plus"/>
    <x v="1"/>
    <n v="53359060"/>
  </r>
  <r>
    <x v="0"/>
    <x v="3"/>
    <s v="2D"/>
    <s v="Ultrasound"/>
    <m/>
    <x v="0"/>
    <s v="ViewFlex Plus"/>
    <x v="2"/>
    <n v="48121180"/>
  </r>
  <r>
    <x v="0"/>
    <x v="3"/>
    <s v="2D"/>
    <s v="Ultrasound"/>
    <m/>
    <x v="1"/>
    <s v="ULTRA ICE Plus"/>
    <x v="0"/>
    <n v="592340"/>
  </r>
  <r>
    <x v="0"/>
    <x v="3"/>
    <s v="2D"/>
    <s v="Ultrasound"/>
    <m/>
    <x v="1"/>
    <s v="ULTRA ICE Plus"/>
    <x v="1"/>
    <n v="591950"/>
  </r>
  <r>
    <x v="0"/>
    <x v="3"/>
    <s v="2D"/>
    <s v="Ultrasound"/>
    <m/>
    <x v="1"/>
    <s v="ULTRA ICE Plus"/>
    <x v="2"/>
    <n v="734790"/>
  </r>
  <r>
    <x v="0"/>
    <x v="3"/>
    <s v="2D"/>
    <s v="Ultrasound"/>
    <m/>
    <x v="2"/>
    <s v="SoundStar eco"/>
    <x v="0"/>
    <n v="36565480"/>
  </r>
  <r>
    <x v="0"/>
    <x v="3"/>
    <s v="2D"/>
    <s v="Ultrasound"/>
    <m/>
    <x v="2"/>
    <s v="SoundStar Crystal"/>
    <x v="0"/>
    <n v="101180"/>
  </r>
  <r>
    <x v="0"/>
    <x v="3"/>
    <s v="2D"/>
    <s v="Ultrasound"/>
    <m/>
    <x v="2"/>
    <s v="SoundStar"/>
    <x v="0"/>
    <n v="157286490"/>
  </r>
  <r>
    <x v="0"/>
    <x v="3"/>
    <s v="2D"/>
    <s v="Ultrasound"/>
    <m/>
    <x v="2"/>
    <s v="ACUNAV"/>
    <x v="0"/>
    <n v="57457850"/>
  </r>
  <r>
    <x v="0"/>
    <x v="3"/>
    <s v="2D"/>
    <s v="Ultrasound"/>
    <m/>
    <x v="2"/>
    <s v="SoundStar eco"/>
    <x v="1"/>
    <n v="27985940"/>
  </r>
  <r>
    <x v="0"/>
    <x v="3"/>
    <s v="2D"/>
    <s v="Ultrasound"/>
    <m/>
    <x v="2"/>
    <s v="SoundStar"/>
    <x v="1"/>
    <n v="133499820"/>
  </r>
  <r>
    <x v="0"/>
    <x v="3"/>
    <s v="2D"/>
    <s v="Ultrasound"/>
    <m/>
    <x v="2"/>
    <s v="ACUNAV"/>
    <x v="1"/>
    <n v="51891980"/>
  </r>
  <r>
    <x v="0"/>
    <x v="3"/>
    <s v="2D"/>
    <s v="Ultrasound"/>
    <m/>
    <x v="2"/>
    <s v="SoundStar eco"/>
    <x v="2"/>
    <n v="23423810"/>
  </r>
  <r>
    <x v="0"/>
    <x v="3"/>
    <s v="2D"/>
    <s v="Ultrasound"/>
    <m/>
    <x v="2"/>
    <s v="SoundStar"/>
    <x v="2"/>
    <n v="135480870"/>
  </r>
  <r>
    <x v="0"/>
    <x v="3"/>
    <s v="2D"/>
    <s v="Ultrasound"/>
    <m/>
    <x v="2"/>
    <s v="ACUNAV"/>
    <x v="2"/>
    <n v="49375040"/>
  </r>
  <r>
    <x v="0"/>
    <x v="3"/>
    <s v="3D/4D"/>
    <s v="Ultrasound"/>
    <m/>
    <x v="2"/>
    <s v="NuVision Catheter"/>
    <x v="0"/>
    <n v="12926590"/>
  </r>
  <r>
    <x v="0"/>
    <x v="3"/>
    <s v="3D/4D"/>
    <s v="Ultrasound"/>
    <m/>
    <x v="2"/>
    <s v="NuVision"/>
    <x v="0"/>
    <n v="15220"/>
  </r>
  <r>
    <x v="0"/>
    <x v="3"/>
    <s v="3D/4D"/>
    <s v="Ultrasound"/>
    <m/>
    <x v="2"/>
    <s v="NuVision Catheter"/>
    <x v="1"/>
    <n v="2558960"/>
  </r>
  <r>
    <x v="0"/>
    <x v="3"/>
    <s v="3D/4D"/>
    <s v="Ultrasound"/>
    <m/>
    <x v="2"/>
    <s v="NuVision"/>
    <x v="1"/>
    <n v="366610"/>
  </r>
  <r>
    <x v="0"/>
    <x v="3"/>
    <s v="3D/4D"/>
    <s v="Ultrasound"/>
    <m/>
    <x v="2"/>
    <s v="NuVision Catheter"/>
    <x v="2"/>
    <n v="1469490"/>
  </r>
  <r>
    <x v="1"/>
    <x v="0"/>
    <s v="Reference Patch"/>
    <m/>
    <m/>
    <x v="0"/>
    <s v="EnSite X"/>
    <x v="0"/>
    <n v="67080"/>
  </r>
  <r>
    <x v="1"/>
    <x v="0"/>
    <s v="Reference Patch"/>
    <m/>
    <m/>
    <x v="0"/>
    <s v="EnSite Precision"/>
    <x v="0"/>
    <n v="9980"/>
  </r>
  <r>
    <x v="1"/>
    <x v="0"/>
    <s v="Reference Patch"/>
    <m/>
    <m/>
    <x v="0"/>
    <s v="EnSite NavX"/>
    <x v="0"/>
    <n v="130"/>
  </r>
  <r>
    <x v="1"/>
    <x v="0"/>
    <s v="Reference Patch"/>
    <m/>
    <m/>
    <x v="0"/>
    <s v="EnSite X"/>
    <x v="1"/>
    <n v="42950"/>
  </r>
  <r>
    <x v="1"/>
    <x v="0"/>
    <s v="Reference Patch"/>
    <m/>
    <m/>
    <x v="0"/>
    <s v="EnSite Precision"/>
    <x v="1"/>
    <n v="22410"/>
  </r>
  <r>
    <x v="1"/>
    <x v="0"/>
    <s v="Reference Patch"/>
    <m/>
    <m/>
    <x v="0"/>
    <s v="EnSite NavX"/>
    <x v="1"/>
    <n v="130"/>
  </r>
  <r>
    <x v="1"/>
    <x v="0"/>
    <s v="Reference Patch"/>
    <m/>
    <m/>
    <x v="0"/>
    <s v="Ensite NavX"/>
    <x v="1"/>
    <n v="20"/>
  </r>
  <r>
    <x v="1"/>
    <x v="0"/>
    <s v="Reference Patch"/>
    <m/>
    <m/>
    <x v="0"/>
    <s v="EnSite X"/>
    <x v="2"/>
    <n v="21310"/>
  </r>
  <r>
    <x v="1"/>
    <x v="0"/>
    <s v="Reference Patch"/>
    <m/>
    <m/>
    <x v="0"/>
    <s v="EnSite Precision"/>
    <x v="2"/>
    <n v="39130"/>
  </r>
  <r>
    <x v="1"/>
    <x v="0"/>
    <s v="Reference Patch"/>
    <m/>
    <m/>
    <x v="0"/>
    <s v="EnSite NavX"/>
    <x v="2"/>
    <n v="200"/>
  </r>
  <r>
    <x v="1"/>
    <x v="0"/>
    <s v="Reference Patch"/>
    <m/>
    <m/>
    <x v="0"/>
    <s v="Ensite NavX"/>
    <x v="2"/>
    <n v="150"/>
  </r>
  <r>
    <x v="1"/>
    <x v="0"/>
    <s v="Reference Patch"/>
    <m/>
    <m/>
    <x v="1"/>
    <s v="Rhythmia"/>
    <x v="0"/>
    <n v="6340"/>
  </r>
  <r>
    <x v="1"/>
    <x v="0"/>
    <s v="Reference Patch"/>
    <m/>
    <m/>
    <x v="1"/>
    <s v="Rhythmia"/>
    <x v="1"/>
    <n v="5320"/>
  </r>
  <r>
    <x v="1"/>
    <x v="0"/>
    <s v="Reference Patch"/>
    <m/>
    <m/>
    <x v="1"/>
    <s v="Rhythmia"/>
    <x v="2"/>
    <n v="5040"/>
  </r>
  <r>
    <x v="1"/>
    <x v="0"/>
    <s v="Reference Patch"/>
    <m/>
    <m/>
    <x v="2"/>
    <s v="Carto 3"/>
    <x v="0"/>
    <n v="155040"/>
  </r>
  <r>
    <x v="1"/>
    <x v="0"/>
    <s v="Reference Patch"/>
    <m/>
    <m/>
    <x v="2"/>
    <s v="Carto 3"/>
    <x v="1"/>
    <n v="137460"/>
  </r>
  <r>
    <x v="1"/>
    <x v="0"/>
    <s v="Reference Patch"/>
    <m/>
    <m/>
    <x v="2"/>
    <s v="Carto 3"/>
    <x v="2"/>
    <n v="122370"/>
  </r>
  <r>
    <x v="1"/>
    <x v="0"/>
    <s v="Reference Patch"/>
    <m/>
    <m/>
    <x v="3"/>
    <s v="Affera"/>
    <x v="0"/>
    <n v="310"/>
  </r>
  <r>
    <x v="1"/>
    <x v="1"/>
    <s v="Advanced"/>
    <s v="Advanced/3D mapping"/>
    <m/>
    <x v="0"/>
    <s v="Advisor HD Grid X"/>
    <x v="0"/>
    <n v="130"/>
  </r>
  <r>
    <x v="1"/>
    <x v="1"/>
    <s v="Advanced"/>
    <s v="Advanced/3D mapping"/>
    <m/>
    <x v="0"/>
    <s v="Advisor HD"/>
    <x v="0"/>
    <n v="36550"/>
  </r>
  <r>
    <x v="1"/>
    <x v="1"/>
    <s v="Advanced"/>
    <s v="Advanced/3D mapping"/>
    <m/>
    <x v="0"/>
    <s v="Livewire"/>
    <x v="1"/>
    <n v="0"/>
  </r>
  <r>
    <x v="1"/>
    <x v="1"/>
    <s v="Advanced"/>
    <s v="Advanced/3D mapping"/>
    <m/>
    <x v="0"/>
    <s v="FIRMap"/>
    <x v="1"/>
    <n v="20"/>
  </r>
  <r>
    <x v="1"/>
    <x v="1"/>
    <s v="Advanced"/>
    <s v="Advanced/3D mapping"/>
    <m/>
    <x v="0"/>
    <s v="Advisor HD"/>
    <x v="1"/>
    <n v="25790"/>
  </r>
  <r>
    <x v="1"/>
    <x v="1"/>
    <s v="Advanced"/>
    <s v="Advanced/3D mapping"/>
    <m/>
    <x v="0"/>
    <s v="Livewire"/>
    <x v="2"/>
    <n v="0"/>
  </r>
  <r>
    <x v="1"/>
    <x v="1"/>
    <s v="Advanced"/>
    <s v="Advanced/3D mapping"/>
    <m/>
    <x v="0"/>
    <s v="FIRMap"/>
    <x v="2"/>
    <n v="60"/>
  </r>
  <r>
    <x v="1"/>
    <x v="1"/>
    <s v="Advanced"/>
    <s v="Advanced/3D mapping"/>
    <m/>
    <x v="0"/>
    <s v="Advisor HD"/>
    <x v="2"/>
    <n v="22050"/>
  </r>
  <r>
    <x v="1"/>
    <x v="1"/>
    <s v="Advanced"/>
    <s v="Advanced/3D mapping"/>
    <m/>
    <x v="1"/>
    <s v="IntellaMap Orion"/>
    <x v="0"/>
    <n v="3590"/>
  </r>
  <r>
    <x v="1"/>
    <x v="1"/>
    <s v="Advanced"/>
    <s v="Advanced/3D mapping"/>
    <m/>
    <x v="1"/>
    <s v="IntellaMap Orion"/>
    <x v="1"/>
    <n v="3560"/>
  </r>
  <r>
    <x v="1"/>
    <x v="1"/>
    <s v="Advanced"/>
    <s v="Advanced/3D mapping"/>
    <m/>
    <x v="1"/>
    <s v="IntellaMap Orion"/>
    <x v="2"/>
    <n v="3150"/>
  </r>
  <r>
    <x v="1"/>
    <x v="1"/>
    <s v="Advanced"/>
    <s v="Advanced/3D mapping"/>
    <m/>
    <x v="1"/>
    <s v="CONSTELLATION"/>
    <x v="2"/>
    <n v="20"/>
  </r>
  <r>
    <x v="1"/>
    <x v="1"/>
    <s v="Advanced"/>
    <s v="Advanced/3D mapping"/>
    <m/>
    <x v="2"/>
    <s v="Pentaray NAV eco"/>
    <x v="0"/>
    <n v="24510"/>
  </r>
  <r>
    <x v="1"/>
    <x v="1"/>
    <s v="Advanced"/>
    <s v="Advanced/3D mapping"/>
    <m/>
    <x v="2"/>
    <s v="Optrell"/>
    <x v="0"/>
    <n v="8450"/>
  </r>
  <r>
    <x v="1"/>
    <x v="1"/>
    <s v="Advanced"/>
    <s v="Advanced/3D mapping"/>
    <m/>
    <x v="2"/>
    <s v="OCTARAY"/>
    <x v="0"/>
    <n v="74340"/>
  </r>
  <r>
    <x v="1"/>
    <x v="1"/>
    <s v="Advanced"/>
    <s v="Advanced/3D mapping"/>
    <m/>
    <x v="2"/>
    <s v="DECANAV"/>
    <x v="0"/>
    <n v="49350"/>
  </r>
  <r>
    <x v="1"/>
    <x v="1"/>
    <s v="Advanced"/>
    <s v="Advanced/3D mapping"/>
    <m/>
    <x v="2"/>
    <s v="Pentaray NAV eco"/>
    <x v="1"/>
    <n v="32090"/>
  </r>
  <r>
    <x v="1"/>
    <x v="1"/>
    <s v="Advanced"/>
    <s v="Advanced/3D mapping"/>
    <m/>
    <x v="2"/>
    <s v="Optrell"/>
    <x v="1"/>
    <n v="5960"/>
  </r>
  <r>
    <x v="1"/>
    <x v="1"/>
    <s v="Advanced"/>
    <s v="Advanced/3D mapping"/>
    <m/>
    <x v="2"/>
    <s v="OCTARAY"/>
    <x v="1"/>
    <n v="54640"/>
  </r>
  <r>
    <x v="1"/>
    <x v="1"/>
    <s v="Advanced"/>
    <s v="Advanced/3D mapping"/>
    <m/>
    <x v="2"/>
    <s v="DECANAV"/>
    <x v="1"/>
    <n v="41490"/>
  </r>
  <r>
    <x v="1"/>
    <x v="1"/>
    <s v="Advanced"/>
    <s v="Advanced/3D mapping"/>
    <m/>
    <x v="2"/>
    <s v="Pentaray NAV eco"/>
    <x v="2"/>
    <n v="57920"/>
  </r>
  <r>
    <x v="1"/>
    <x v="1"/>
    <s v="Advanced"/>
    <s v="Advanced/3D mapping"/>
    <m/>
    <x v="2"/>
    <s v="Optrell"/>
    <x v="2"/>
    <n v="320"/>
  </r>
  <r>
    <x v="1"/>
    <x v="1"/>
    <s v="Advanced"/>
    <s v="Advanced/3D mapping"/>
    <m/>
    <x v="2"/>
    <s v="OCTARAY"/>
    <x v="2"/>
    <n v="16500"/>
  </r>
  <r>
    <x v="1"/>
    <x v="1"/>
    <s v="Advanced"/>
    <s v="Advanced/3D mapping"/>
    <m/>
    <x v="2"/>
    <s v="DECANAV"/>
    <x v="2"/>
    <n v="32600"/>
  </r>
  <r>
    <x v="1"/>
    <x v="1"/>
    <s v="Advanced"/>
    <s v="Loop"/>
    <m/>
    <x v="0"/>
    <s v="Reflexion Spiral"/>
    <x v="0"/>
    <n v="140"/>
  </r>
  <r>
    <x v="1"/>
    <x v="1"/>
    <s v="Advanced"/>
    <s v="Loop"/>
    <m/>
    <x v="0"/>
    <s v="Reflexion HD"/>
    <x v="0"/>
    <n v="0"/>
  </r>
  <r>
    <x v="1"/>
    <x v="1"/>
    <s v="Advanced"/>
    <s v="Loop"/>
    <m/>
    <x v="0"/>
    <s v="Afocus"/>
    <x v="0"/>
    <n v="660"/>
  </r>
  <r>
    <x v="1"/>
    <x v="1"/>
    <s v="Advanced"/>
    <s v="Loop"/>
    <m/>
    <x v="0"/>
    <s v="Advisor VL"/>
    <x v="0"/>
    <n v="1540"/>
  </r>
  <r>
    <x v="1"/>
    <x v="1"/>
    <s v="Advanced"/>
    <s v="Loop"/>
    <m/>
    <x v="0"/>
    <s v="Advisor FL"/>
    <x v="0"/>
    <n v="1070"/>
  </r>
  <r>
    <x v="1"/>
    <x v="1"/>
    <s v="Advanced"/>
    <s v="Loop"/>
    <m/>
    <x v="0"/>
    <s v="Reflexion Spiral"/>
    <x v="1"/>
    <n v="300"/>
  </r>
  <r>
    <x v="1"/>
    <x v="1"/>
    <s v="Advanced"/>
    <s v="Loop"/>
    <m/>
    <x v="0"/>
    <s v="Reflexion HD"/>
    <x v="1"/>
    <n v="0"/>
  </r>
  <r>
    <x v="1"/>
    <x v="1"/>
    <s v="Advanced"/>
    <s v="Loop"/>
    <m/>
    <x v="0"/>
    <s v="Optima"/>
    <x v="1"/>
    <n v="30"/>
  </r>
  <r>
    <x v="1"/>
    <x v="1"/>
    <s v="Advanced"/>
    <s v="Loop"/>
    <m/>
    <x v="0"/>
    <s v="Afocus"/>
    <x v="1"/>
    <n v="240"/>
  </r>
  <r>
    <x v="1"/>
    <x v="1"/>
    <s v="Advanced"/>
    <s v="Loop"/>
    <m/>
    <x v="0"/>
    <s v="Advisor VL"/>
    <x v="1"/>
    <n v="1180"/>
  </r>
  <r>
    <x v="1"/>
    <x v="1"/>
    <s v="Advanced"/>
    <s v="Loop"/>
    <m/>
    <x v="0"/>
    <s v="Advisor FL"/>
    <x v="1"/>
    <n v="460"/>
  </r>
  <r>
    <x v="1"/>
    <x v="1"/>
    <s v="Advanced"/>
    <s v="Loop"/>
    <m/>
    <x v="0"/>
    <s v="Reflexion Spiral"/>
    <x v="2"/>
    <n v="860"/>
  </r>
  <r>
    <x v="1"/>
    <x v="1"/>
    <s v="Advanced"/>
    <s v="Loop"/>
    <m/>
    <x v="0"/>
    <s v="Reflexion HD"/>
    <x v="2"/>
    <n v="60"/>
  </r>
  <r>
    <x v="1"/>
    <x v="1"/>
    <s v="Advanced"/>
    <s v="Loop"/>
    <m/>
    <x v="0"/>
    <s v="Optima"/>
    <x v="2"/>
    <n v="130"/>
  </r>
  <r>
    <x v="1"/>
    <x v="1"/>
    <s v="Advanced"/>
    <s v="Loop"/>
    <m/>
    <x v="0"/>
    <s v="Afocus"/>
    <x v="2"/>
    <n v="410"/>
  </r>
  <r>
    <x v="1"/>
    <x v="1"/>
    <s v="Advanced"/>
    <s v="Loop"/>
    <m/>
    <x v="0"/>
    <s v="Advisor VL"/>
    <x v="2"/>
    <n v="1050"/>
  </r>
  <r>
    <x v="1"/>
    <x v="1"/>
    <s v="Advanced"/>
    <s v="Loop"/>
    <m/>
    <x v="0"/>
    <s v="Advisor FL"/>
    <x v="2"/>
    <n v="500"/>
  </r>
  <r>
    <x v="1"/>
    <x v="1"/>
    <s v="Advanced"/>
    <s v="Loop"/>
    <m/>
    <x v="1"/>
    <s v="POLARMAP"/>
    <x v="0"/>
    <n v="1680"/>
  </r>
  <r>
    <x v="1"/>
    <x v="1"/>
    <s v="Advanced"/>
    <s v="Loop"/>
    <m/>
    <x v="1"/>
    <s v="POLARMAP"/>
    <x v="1"/>
    <n v="1530"/>
  </r>
  <r>
    <x v="1"/>
    <x v="1"/>
    <s v="Advanced"/>
    <s v="Loop"/>
    <m/>
    <x v="1"/>
    <s v="POLARMAP"/>
    <x v="2"/>
    <n v="10"/>
  </r>
  <r>
    <x v="1"/>
    <x v="1"/>
    <s v="Advanced"/>
    <s v="Loop"/>
    <m/>
    <x v="2"/>
    <s v="Lasso Nav eco EO"/>
    <x v="0"/>
    <n v="250"/>
  </r>
  <r>
    <x v="1"/>
    <x v="1"/>
    <s v="Advanced"/>
    <s v="Loop"/>
    <m/>
    <x v="2"/>
    <s v="Lasso Nav eco"/>
    <x v="0"/>
    <n v="440"/>
  </r>
  <r>
    <x v="1"/>
    <x v="1"/>
    <s v="Advanced"/>
    <s v="Loop"/>
    <m/>
    <x v="2"/>
    <s v="Lasso NAV"/>
    <x v="0"/>
    <n v="390"/>
  </r>
  <r>
    <x v="1"/>
    <x v="1"/>
    <s v="Advanced"/>
    <s v="Loop"/>
    <m/>
    <x v="2"/>
    <s v="Lasso 2515 Variable Circular"/>
    <x v="0"/>
    <n v="110"/>
  </r>
  <r>
    <x v="1"/>
    <x v="1"/>
    <s v="Advanced"/>
    <s v="Loop"/>
    <m/>
    <x v="2"/>
    <s v="Lasso 2515 Nav eco Variable"/>
    <x v="0"/>
    <n v="2610"/>
  </r>
  <r>
    <x v="1"/>
    <x v="1"/>
    <s v="Advanced"/>
    <s v="Loop"/>
    <m/>
    <x v="2"/>
    <s v="Lasso"/>
    <x v="0"/>
    <n v="50"/>
  </r>
  <r>
    <x v="1"/>
    <x v="1"/>
    <s v="Advanced"/>
    <s v="Loop"/>
    <m/>
    <x v="2"/>
    <s v="Lasso Nav eco EO"/>
    <x v="1"/>
    <n v="290"/>
  </r>
  <r>
    <x v="1"/>
    <x v="1"/>
    <s v="Advanced"/>
    <s v="Loop"/>
    <m/>
    <x v="2"/>
    <s v="Lasso Nav eco"/>
    <x v="1"/>
    <n v="600"/>
  </r>
  <r>
    <x v="1"/>
    <x v="1"/>
    <s v="Advanced"/>
    <s v="Loop"/>
    <m/>
    <x v="2"/>
    <s v="Lasso NAV"/>
    <x v="1"/>
    <n v="340"/>
  </r>
  <r>
    <x v="1"/>
    <x v="1"/>
    <s v="Advanced"/>
    <s v="Loop"/>
    <m/>
    <x v="2"/>
    <s v="Lasso 2515 Variable Circular"/>
    <x v="1"/>
    <n v="230"/>
  </r>
  <r>
    <x v="1"/>
    <x v="1"/>
    <s v="Advanced"/>
    <s v="Loop"/>
    <m/>
    <x v="2"/>
    <s v="Lasso 2515 Nav eco Variable"/>
    <x v="1"/>
    <n v="3460"/>
  </r>
  <r>
    <x v="1"/>
    <x v="1"/>
    <s v="Advanced"/>
    <s v="Loop"/>
    <m/>
    <x v="2"/>
    <s v="Lasso"/>
    <x v="1"/>
    <n v="110"/>
  </r>
  <r>
    <x v="1"/>
    <x v="1"/>
    <s v="Advanced"/>
    <s v="Loop"/>
    <m/>
    <x v="2"/>
    <s v="Lasso Nav eco EO"/>
    <x v="2"/>
    <n v="290"/>
  </r>
  <r>
    <x v="1"/>
    <x v="1"/>
    <s v="Advanced"/>
    <s v="Loop"/>
    <m/>
    <x v="2"/>
    <s v="Lasso Nav eco"/>
    <x v="2"/>
    <n v="740"/>
  </r>
  <r>
    <x v="1"/>
    <x v="1"/>
    <s v="Advanced"/>
    <s v="Loop"/>
    <m/>
    <x v="2"/>
    <s v="Lasso NAV"/>
    <x v="2"/>
    <n v="40"/>
  </r>
  <r>
    <x v="1"/>
    <x v="1"/>
    <s v="Advanced"/>
    <s v="Loop"/>
    <m/>
    <x v="2"/>
    <s v="Lasso 2515 Variable Circular"/>
    <x v="2"/>
    <n v="330"/>
  </r>
  <r>
    <x v="1"/>
    <x v="1"/>
    <s v="Advanced"/>
    <s v="Loop"/>
    <m/>
    <x v="2"/>
    <s v="Lasso 2515 Nav eco Variable"/>
    <x v="2"/>
    <n v="5470"/>
  </r>
  <r>
    <x v="1"/>
    <x v="1"/>
    <s v="Advanced"/>
    <s v="Loop"/>
    <m/>
    <x v="2"/>
    <s v="Lasso"/>
    <x v="2"/>
    <n v="130"/>
  </r>
  <r>
    <x v="1"/>
    <x v="1"/>
    <s v="Advanced"/>
    <s v="Loop"/>
    <m/>
    <x v="3"/>
    <s v="Achieve"/>
    <x v="0"/>
    <n v="16480"/>
  </r>
  <r>
    <x v="1"/>
    <x v="1"/>
    <s v="Advanced"/>
    <s v="Loop"/>
    <m/>
    <x v="3"/>
    <s v="Achieve"/>
    <x v="1"/>
    <n v="28540"/>
  </r>
  <r>
    <x v="1"/>
    <x v="1"/>
    <s v="Advanced"/>
    <s v="Loop"/>
    <m/>
    <x v="3"/>
    <s v="Achieve"/>
    <x v="2"/>
    <n v="27530"/>
  </r>
  <r>
    <x v="1"/>
    <x v="2"/>
    <s v="Advanced"/>
    <m/>
    <s v="Cryo"/>
    <x v="1"/>
    <s v="POLARx Fit ST"/>
    <x v="0"/>
    <n v="1690"/>
  </r>
  <r>
    <x v="1"/>
    <x v="2"/>
    <s v="Advanced"/>
    <m/>
    <s v="Cryo"/>
    <x v="1"/>
    <s v="POLARx Fit LT"/>
    <x v="0"/>
    <n v="110"/>
  </r>
  <r>
    <x v="1"/>
    <x v="2"/>
    <s v="Advanced"/>
    <m/>
    <s v="Cryo"/>
    <x v="1"/>
    <s v="POLARx Fit ST"/>
    <x v="1"/>
    <n v="1360"/>
  </r>
  <r>
    <x v="1"/>
    <x v="2"/>
    <s v="Advanced"/>
    <m/>
    <s v="Cryo"/>
    <x v="1"/>
    <s v="POLARx Fit LT"/>
    <x v="1"/>
    <n v="250"/>
  </r>
  <r>
    <x v="1"/>
    <x v="2"/>
    <s v="Advanced"/>
    <m/>
    <s v="Cryo"/>
    <x v="1"/>
    <s v="POLARx Fit ST"/>
    <x v="2"/>
    <n v="10"/>
  </r>
  <r>
    <x v="1"/>
    <x v="2"/>
    <s v="Advanced"/>
    <m/>
    <s v="Cryo"/>
    <x v="1"/>
    <s v="POLARx Fit LT"/>
    <x v="2"/>
    <n v="20"/>
  </r>
  <r>
    <x v="1"/>
    <x v="2"/>
    <s v="Advanced"/>
    <m/>
    <s v="Cryo"/>
    <x v="3"/>
    <s v="Freezor Xtra"/>
    <x v="0"/>
    <n v="1950"/>
  </r>
  <r>
    <x v="1"/>
    <x v="2"/>
    <s v="Advanced"/>
    <m/>
    <s v="Cryo"/>
    <x v="3"/>
    <s v="Freezor Max"/>
    <x v="0"/>
    <n v="540"/>
  </r>
  <r>
    <x v="1"/>
    <x v="2"/>
    <s v="Advanced"/>
    <m/>
    <s v="Cryo"/>
    <x v="3"/>
    <s v="Freezor"/>
    <x v="0"/>
    <n v="340"/>
  </r>
  <r>
    <x v="1"/>
    <x v="2"/>
    <s v="Advanced"/>
    <m/>
    <s v="Cryo"/>
    <x v="3"/>
    <s v="Arctic Front Advance Pro"/>
    <x v="0"/>
    <n v="15470"/>
  </r>
  <r>
    <x v="1"/>
    <x v="2"/>
    <s v="Advanced"/>
    <m/>
    <s v="Cryo"/>
    <x v="3"/>
    <s v="Arctic Front Advance"/>
    <x v="0"/>
    <n v="2430"/>
  </r>
  <r>
    <x v="1"/>
    <x v="2"/>
    <s v="Advanced"/>
    <m/>
    <s v="Cryo"/>
    <x v="3"/>
    <s v="Freezor Xtra"/>
    <x v="1"/>
    <n v="1890"/>
  </r>
  <r>
    <x v="1"/>
    <x v="2"/>
    <s v="Advanced"/>
    <m/>
    <s v="Cryo"/>
    <x v="3"/>
    <s v="Freezor Max"/>
    <x v="1"/>
    <n v="540"/>
  </r>
  <r>
    <x v="1"/>
    <x v="2"/>
    <s v="Advanced"/>
    <m/>
    <s v="Cryo"/>
    <x v="3"/>
    <s v="Freezor"/>
    <x v="1"/>
    <n v="620"/>
  </r>
  <r>
    <x v="1"/>
    <x v="2"/>
    <s v="Advanced"/>
    <m/>
    <s v="Cryo"/>
    <x v="3"/>
    <s v="Arctic Front Advance Pro"/>
    <x v="1"/>
    <n v="24980"/>
  </r>
  <r>
    <x v="1"/>
    <x v="2"/>
    <s v="Advanced"/>
    <m/>
    <s v="Cryo"/>
    <x v="3"/>
    <s v="Arctic Front Advance"/>
    <x v="1"/>
    <n v="4730"/>
  </r>
  <r>
    <x v="1"/>
    <x v="2"/>
    <s v="Advanced"/>
    <m/>
    <s v="Cryo"/>
    <x v="3"/>
    <s v="Arctic Front"/>
    <x v="1"/>
    <n v="0"/>
  </r>
  <r>
    <x v="1"/>
    <x v="2"/>
    <s v="Advanced"/>
    <m/>
    <s v="Cryo"/>
    <x v="3"/>
    <s v="Freezor Xtra"/>
    <x v="2"/>
    <n v="500"/>
  </r>
  <r>
    <x v="1"/>
    <x v="2"/>
    <s v="Advanced"/>
    <m/>
    <s v="Cryo"/>
    <x v="3"/>
    <s v="Freezor Max"/>
    <x v="2"/>
    <n v="560"/>
  </r>
  <r>
    <x v="1"/>
    <x v="2"/>
    <s v="Advanced"/>
    <m/>
    <s v="Cryo"/>
    <x v="3"/>
    <s v="Freezor"/>
    <x v="2"/>
    <n v="1950"/>
  </r>
  <r>
    <x v="1"/>
    <x v="2"/>
    <s v="Advanced"/>
    <m/>
    <s v="Cryo"/>
    <x v="3"/>
    <s v="Arctic Front Advance Pro"/>
    <x v="2"/>
    <n v="21780"/>
  </r>
  <r>
    <x v="1"/>
    <x v="2"/>
    <s v="Advanced"/>
    <m/>
    <s v="Cryo"/>
    <x v="3"/>
    <s v="Arctic Front Advance"/>
    <x v="2"/>
    <n v="6230"/>
  </r>
  <r>
    <x v="1"/>
    <x v="2"/>
    <s v="Advanced"/>
    <m/>
    <s v="PFA"/>
    <x v="1"/>
    <s v="FaraWave Nav"/>
    <x v="0"/>
    <n v="580"/>
  </r>
  <r>
    <x v="1"/>
    <x v="2"/>
    <s v="Advanced"/>
    <m/>
    <s v="PFA"/>
    <x v="1"/>
    <s v="FaraWave"/>
    <x v="0"/>
    <n v="45240"/>
  </r>
  <r>
    <x v="1"/>
    <x v="2"/>
    <s v="Advanced"/>
    <m/>
    <s v="PFA"/>
    <x v="1"/>
    <s v="Farapoint"/>
    <x v="0"/>
    <n v="20"/>
  </r>
  <r>
    <x v="1"/>
    <x v="2"/>
    <s v="Advanced"/>
    <m/>
    <s v="PFA"/>
    <x v="1"/>
    <s v="FaraWave"/>
    <x v="1"/>
    <n v="30"/>
  </r>
  <r>
    <x v="1"/>
    <x v="2"/>
    <s v="Advanced"/>
    <m/>
    <s v="PFA"/>
    <x v="2"/>
    <s v="Varipulse"/>
    <x v="0"/>
    <n v="170"/>
  </r>
  <r>
    <x v="1"/>
    <x v="2"/>
    <s v="Advanced"/>
    <m/>
    <s v="PFA"/>
    <x v="3"/>
    <s v="Sphere-9"/>
    <x v="0"/>
    <n v="220"/>
  </r>
  <r>
    <x v="1"/>
    <x v="2"/>
    <s v="Advanced"/>
    <m/>
    <s v="PFA"/>
    <x v="3"/>
    <s v="PulseSelect"/>
    <x v="0"/>
    <n v="8660"/>
  </r>
  <r>
    <x v="1"/>
    <x v="2"/>
    <s v="Advanced"/>
    <m/>
    <s v="RF"/>
    <x v="0"/>
    <s v="Therapy Cool Path"/>
    <x v="0"/>
    <n v="10"/>
  </r>
  <r>
    <x v="1"/>
    <x v="2"/>
    <s v="Advanced"/>
    <m/>
    <s v="RF"/>
    <x v="0"/>
    <s v="TactiFlex"/>
    <x v="0"/>
    <n v="28830"/>
  </r>
  <r>
    <x v="1"/>
    <x v="2"/>
    <s v="Advanced"/>
    <m/>
    <s v="RF"/>
    <x v="0"/>
    <s v="TactiCath Sensor Enabled"/>
    <x v="0"/>
    <n v="13810"/>
  </r>
  <r>
    <x v="1"/>
    <x v="2"/>
    <s v="Advanced"/>
    <m/>
    <s v="RF"/>
    <x v="0"/>
    <s v="FlexAbility SE"/>
    <x v="0"/>
    <n v="1830"/>
  </r>
  <r>
    <x v="1"/>
    <x v="2"/>
    <s v="Advanced"/>
    <m/>
    <s v="RF"/>
    <x v="0"/>
    <s v="FlexAbility"/>
    <x v="0"/>
    <n v="1970"/>
  </r>
  <r>
    <x v="1"/>
    <x v="2"/>
    <s v="Advanced"/>
    <m/>
    <s v="RF"/>
    <x v="0"/>
    <s v="Therapy Cool Path"/>
    <x v="1"/>
    <n v="10"/>
  </r>
  <r>
    <x v="1"/>
    <x v="2"/>
    <s v="Advanced"/>
    <m/>
    <s v="RF"/>
    <x v="0"/>
    <s v="TactiFlex"/>
    <x v="1"/>
    <n v="8070"/>
  </r>
  <r>
    <x v="1"/>
    <x v="2"/>
    <s v="Advanced"/>
    <m/>
    <s v="RF"/>
    <x v="0"/>
    <s v="TactiCath Sensor Enabled"/>
    <x v="1"/>
    <n v="31590"/>
  </r>
  <r>
    <x v="1"/>
    <x v="2"/>
    <s v="Advanced"/>
    <m/>
    <s v="RF"/>
    <x v="0"/>
    <s v="TactiCath Quartz"/>
    <x v="1"/>
    <n v="30"/>
  </r>
  <r>
    <x v="1"/>
    <x v="2"/>
    <s v="Advanced"/>
    <m/>
    <s v="RF"/>
    <x v="0"/>
    <s v="TactiCath"/>
    <x v="1"/>
    <n v="0"/>
  </r>
  <r>
    <x v="1"/>
    <x v="2"/>
    <s v="Advanced"/>
    <m/>
    <s v="RF"/>
    <x v="0"/>
    <s v="FlexAbility SE"/>
    <x v="1"/>
    <n v="2570"/>
  </r>
  <r>
    <x v="1"/>
    <x v="2"/>
    <s v="Advanced"/>
    <m/>
    <s v="RF"/>
    <x v="0"/>
    <s v="FlexAbility"/>
    <x v="1"/>
    <n v="2640"/>
  </r>
  <r>
    <x v="1"/>
    <x v="2"/>
    <s v="Advanced"/>
    <m/>
    <s v="RF"/>
    <x v="0"/>
    <s v="Therapy Cool Path"/>
    <x v="2"/>
    <n v="60"/>
  </r>
  <r>
    <x v="1"/>
    <x v="2"/>
    <s v="Advanced"/>
    <m/>
    <s v="RF"/>
    <x v="0"/>
    <s v="TactiCath Sensor Enabled"/>
    <x v="2"/>
    <n v="33790"/>
  </r>
  <r>
    <x v="1"/>
    <x v="2"/>
    <s v="Advanced"/>
    <m/>
    <s v="RF"/>
    <x v="0"/>
    <s v="TactiCath Quartz"/>
    <x v="2"/>
    <n v="60"/>
  </r>
  <r>
    <x v="1"/>
    <x v="2"/>
    <s v="Advanced"/>
    <m/>
    <s v="RF"/>
    <x v="0"/>
    <s v="TactiCath"/>
    <x v="2"/>
    <n v="0"/>
  </r>
  <r>
    <x v="1"/>
    <x v="2"/>
    <s v="Advanced"/>
    <m/>
    <s v="RF"/>
    <x v="0"/>
    <s v="FlexAbility SE"/>
    <x v="2"/>
    <n v="2940"/>
  </r>
  <r>
    <x v="1"/>
    <x v="2"/>
    <s v="Advanced"/>
    <m/>
    <s v="RF"/>
    <x v="0"/>
    <s v="FlexAbility"/>
    <x v="2"/>
    <n v="3200"/>
  </r>
  <r>
    <x v="1"/>
    <x v="2"/>
    <s v="Advanced"/>
    <m/>
    <s v="RF"/>
    <x v="1"/>
    <s v="IntellaTip MIFI OI"/>
    <x v="0"/>
    <n v="120"/>
  </r>
  <r>
    <x v="1"/>
    <x v="2"/>
    <s v="Advanced"/>
    <m/>
    <s v="RF"/>
    <x v="1"/>
    <s v="Intellanav OI"/>
    <x v="0"/>
    <n v="20"/>
  </r>
  <r>
    <x v="1"/>
    <x v="2"/>
    <s v="Advanced"/>
    <m/>
    <s v="RF"/>
    <x v="1"/>
    <s v="Intellanav MIFI OI"/>
    <x v="0"/>
    <n v="2160"/>
  </r>
  <r>
    <x v="1"/>
    <x v="2"/>
    <s v="Advanced"/>
    <m/>
    <s v="RF"/>
    <x v="1"/>
    <s v="BLAZER Open Irrigated"/>
    <x v="0"/>
    <n v="70"/>
  </r>
  <r>
    <x v="1"/>
    <x v="2"/>
    <s v="Advanced"/>
    <m/>
    <s v="RF"/>
    <x v="1"/>
    <s v="IntellaTip MIFI OI"/>
    <x v="1"/>
    <n v="160"/>
  </r>
  <r>
    <x v="1"/>
    <x v="2"/>
    <s v="Advanced"/>
    <m/>
    <s v="RF"/>
    <x v="1"/>
    <s v="Intellanav OI"/>
    <x v="1"/>
    <n v="40"/>
  </r>
  <r>
    <x v="1"/>
    <x v="2"/>
    <s v="Advanced"/>
    <m/>
    <s v="RF"/>
    <x v="1"/>
    <s v="Intellanav MIFI OI"/>
    <x v="1"/>
    <n v="3330"/>
  </r>
  <r>
    <x v="1"/>
    <x v="2"/>
    <s v="Advanced"/>
    <m/>
    <s v="RF"/>
    <x v="1"/>
    <s v="BLAZER Open Irrigated"/>
    <x v="1"/>
    <n v="40"/>
  </r>
  <r>
    <x v="1"/>
    <x v="2"/>
    <s v="Advanced"/>
    <m/>
    <s v="RF"/>
    <x v="1"/>
    <s v="IntellaTip MIFI OI"/>
    <x v="2"/>
    <n v="230"/>
  </r>
  <r>
    <x v="1"/>
    <x v="2"/>
    <s v="Advanced"/>
    <m/>
    <s v="RF"/>
    <x v="1"/>
    <s v="Intellanav OI"/>
    <x v="2"/>
    <n v="70"/>
  </r>
  <r>
    <x v="1"/>
    <x v="2"/>
    <s v="Advanced"/>
    <m/>
    <s v="RF"/>
    <x v="1"/>
    <s v="Intellanav MIFI OI"/>
    <x v="2"/>
    <n v="3500"/>
  </r>
  <r>
    <x v="1"/>
    <x v="2"/>
    <s v="Advanced"/>
    <m/>
    <s v="RF"/>
    <x v="1"/>
    <s v="BLAZER Open Irrigated"/>
    <x v="2"/>
    <n v="50"/>
  </r>
  <r>
    <x v="1"/>
    <x v="2"/>
    <s v="Advanced"/>
    <m/>
    <s v="RF"/>
    <x v="2"/>
    <s v="ThermoCool SmartTouch SF"/>
    <x v="0"/>
    <n v="73020"/>
  </r>
  <r>
    <x v="1"/>
    <x v="2"/>
    <s v="Advanced"/>
    <m/>
    <s v="RF"/>
    <x v="2"/>
    <s v="ThermoCool SmartTouch"/>
    <x v="0"/>
    <n v="2120"/>
  </r>
  <r>
    <x v="1"/>
    <x v="2"/>
    <s v="Advanced"/>
    <m/>
    <s v="RF"/>
    <x v="2"/>
    <s v="ThermoCool SF NAV"/>
    <x v="0"/>
    <n v="410"/>
  </r>
  <r>
    <x v="1"/>
    <x v="2"/>
    <s v="Advanced"/>
    <m/>
    <s v="RF"/>
    <x v="2"/>
    <s v="ThermoCool SF"/>
    <x v="0"/>
    <n v="840"/>
  </r>
  <r>
    <x v="1"/>
    <x v="2"/>
    <s v="Advanced"/>
    <m/>
    <s v="RF"/>
    <x v="2"/>
    <s v="QDOT"/>
    <x v="0"/>
    <n v="49050"/>
  </r>
  <r>
    <x v="1"/>
    <x v="2"/>
    <s v="Advanced"/>
    <m/>
    <s v="RF"/>
    <x v="2"/>
    <s v="NaviStar ThermoCool"/>
    <x v="0"/>
    <n v="90"/>
  </r>
  <r>
    <x v="1"/>
    <x v="2"/>
    <s v="Advanced"/>
    <m/>
    <s v="RF"/>
    <x v="2"/>
    <s v="NaviStar RMT ThermoCool"/>
    <x v="0"/>
    <n v="930"/>
  </r>
  <r>
    <x v="1"/>
    <x v="2"/>
    <s v="Advanced"/>
    <m/>
    <s v="RF"/>
    <x v="2"/>
    <s v="EZ Steer ThermoCool NAV"/>
    <x v="0"/>
    <n v="150"/>
  </r>
  <r>
    <x v="1"/>
    <x v="2"/>
    <s v="Advanced"/>
    <m/>
    <s v="RF"/>
    <x v="2"/>
    <s v="EZ Steer ThermoCool"/>
    <x v="0"/>
    <n v="370"/>
  </r>
  <r>
    <x v="1"/>
    <x v="2"/>
    <s v="Advanced"/>
    <m/>
    <s v="RF"/>
    <x v="2"/>
    <s v="Celsius ThermoCool RMT"/>
    <x v="0"/>
    <n v="240"/>
  </r>
  <r>
    <x v="1"/>
    <x v="2"/>
    <s v="Advanced"/>
    <m/>
    <s v="RF"/>
    <x v="2"/>
    <s v="Celsius ThermoCool"/>
    <x v="0"/>
    <n v="300"/>
  </r>
  <r>
    <x v="1"/>
    <x v="2"/>
    <s v="Advanced"/>
    <m/>
    <s v="RF"/>
    <x v="2"/>
    <s v="ThermoCool SmartTouch SF"/>
    <x v="1"/>
    <n v="113410"/>
  </r>
  <r>
    <x v="1"/>
    <x v="2"/>
    <s v="Advanced"/>
    <m/>
    <s v="RF"/>
    <x v="2"/>
    <s v="ThermoCool SmartTouch"/>
    <x v="1"/>
    <n v="3830"/>
  </r>
  <r>
    <x v="1"/>
    <x v="2"/>
    <s v="Advanced"/>
    <m/>
    <s v="RF"/>
    <x v="2"/>
    <s v="ThermoCool SF NAV"/>
    <x v="1"/>
    <n v="620"/>
  </r>
  <r>
    <x v="1"/>
    <x v="2"/>
    <s v="Advanced"/>
    <m/>
    <s v="RF"/>
    <x v="2"/>
    <s v="ThermoCool SF"/>
    <x v="1"/>
    <n v="790"/>
  </r>
  <r>
    <x v="1"/>
    <x v="2"/>
    <s v="Advanced"/>
    <m/>
    <s v="RF"/>
    <x v="2"/>
    <s v="QDOT"/>
    <x v="1"/>
    <n v="9320"/>
  </r>
  <r>
    <x v="1"/>
    <x v="2"/>
    <s v="Advanced"/>
    <m/>
    <s v="RF"/>
    <x v="2"/>
    <s v="NaviStar ThermoCool"/>
    <x v="1"/>
    <n v="100"/>
  </r>
  <r>
    <x v="1"/>
    <x v="2"/>
    <s v="Advanced"/>
    <m/>
    <s v="RF"/>
    <x v="2"/>
    <s v="NaviStar RMT ThermoCool"/>
    <x v="1"/>
    <n v="980"/>
  </r>
  <r>
    <x v="1"/>
    <x v="2"/>
    <s v="Advanced"/>
    <m/>
    <s v="RF"/>
    <x v="2"/>
    <s v="EZ Steer ThermoCool NAV"/>
    <x v="1"/>
    <n v="130"/>
  </r>
  <r>
    <x v="1"/>
    <x v="2"/>
    <s v="Advanced"/>
    <m/>
    <s v="RF"/>
    <x v="2"/>
    <s v="EZ Steer ThermoCool"/>
    <x v="1"/>
    <n v="400"/>
  </r>
  <r>
    <x v="1"/>
    <x v="2"/>
    <s v="Advanced"/>
    <m/>
    <s v="RF"/>
    <x v="2"/>
    <s v="Celsius ThermoCool RMT"/>
    <x v="1"/>
    <n v="250"/>
  </r>
  <r>
    <x v="1"/>
    <x v="2"/>
    <s v="Advanced"/>
    <m/>
    <s v="RF"/>
    <x v="2"/>
    <s v="Celsius ThermoCool"/>
    <x v="1"/>
    <n v="300"/>
  </r>
  <r>
    <x v="1"/>
    <x v="2"/>
    <s v="Advanced"/>
    <m/>
    <s v="RF"/>
    <x v="2"/>
    <s v="ThermoCool SmartTouch SF"/>
    <x v="2"/>
    <n v="102770"/>
  </r>
  <r>
    <x v="1"/>
    <x v="2"/>
    <s v="Advanced"/>
    <m/>
    <s v="RF"/>
    <x v="2"/>
    <s v="ThermoCool SmartTouch"/>
    <x v="2"/>
    <n v="4810"/>
  </r>
  <r>
    <x v="1"/>
    <x v="2"/>
    <s v="Advanced"/>
    <m/>
    <s v="RF"/>
    <x v="2"/>
    <s v="ThermoCool SF NAV"/>
    <x v="2"/>
    <n v="730"/>
  </r>
  <r>
    <x v="1"/>
    <x v="2"/>
    <s v="Advanced"/>
    <m/>
    <s v="RF"/>
    <x v="2"/>
    <s v="ThermoCool SF"/>
    <x v="2"/>
    <n v="800"/>
  </r>
  <r>
    <x v="1"/>
    <x v="2"/>
    <s v="Advanced"/>
    <m/>
    <s v="RF"/>
    <x v="2"/>
    <s v="NaviStar ThermoCool"/>
    <x v="2"/>
    <n v="110"/>
  </r>
  <r>
    <x v="1"/>
    <x v="2"/>
    <s v="Advanced"/>
    <m/>
    <s v="RF"/>
    <x v="2"/>
    <s v="NaviStar RMT ThermoCool"/>
    <x v="2"/>
    <n v="1220"/>
  </r>
  <r>
    <x v="1"/>
    <x v="2"/>
    <s v="Advanced"/>
    <m/>
    <s v="RF"/>
    <x v="2"/>
    <s v="EZ Steer ThermoCool NAV"/>
    <x v="2"/>
    <n v="160"/>
  </r>
  <r>
    <x v="1"/>
    <x v="2"/>
    <s v="Advanced"/>
    <m/>
    <s v="RF"/>
    <x v="2"/>
    <s v="EZ Steer ThermoCool"/>
    <x v="2"/>
    <n v="420"/>
  </r>
  <r>
    <x v="1"/>
    <x v="2"/>
    <s v="Advanced"/>
    <m/>
    <s v="RF"/>
    <x v="2"/>
    <s v="Celsius ThermoCool RMT"/>
    <x v="2"/>
    <n v="200"/>
  </r>
  <r>
    <x v="1"/>
    <x v="2"/>
    <s v="Advanced"/>
    <m/>
    <s v="RF"/>
    <x v="2"/>
    <s v="Celsius ThermoCool"/>
    <x v="2"/>
    <n v="310"/>
  </r>
  <r>
    <x v="1"/>
    <x v="2"/>
    <s v="Advanced"/>
    <m/>
    <s v="RF"/>
    <x v="3"/>
    <s v="DiamondTemp"/>
    <x v="0"/>
    <n v="210"/>
  </r>
  <r>
    <x v="1"/>
    <x v="2"/>
    <s v="Advanced"/>
    <m/>
    <s v="RF"/>
    <x v="3"/>
    <s v="DiamondTemp"/>
    <x v="1"/>
    <n v="560"/>
  </r>
  <r>
    <x v="1"/>
    <x v="2"/>
    <s v="Advanced"/>
    <m/>
    <s v="RF"/>
    <x v="3"/>
    <s v="DiamondTemp"/>
    <x v="2"/>
    <n v="530"/>
  </r>
  <r>
    <x v="1"/>
    <x v="3"/>
    <s v="2D"/>
    <s v="Ultrasound"/>
    <m/>
    <x v="0"/>
    <s v="ViewFlex Plus"/>
    <x v="0"/>
    <n v="34390"/>
  </r>
  <r>
    <x v="1"/>
    <x v="3"/>
    <s v="2D"/>
    <s v="Ultrasound"/>
    <m/>
    <x v="0"/>
    <s v="ViewFlex Plus"/>
    <x v="1"/>
    <n v="25950"/>
  </r>
  <r>
    <x v="1"/>
    <x v="3"/>
    <s v="2D"/>
    <s v="Ultrasound"/>
    <m/>
    <x v="0"/>
    <s v="ViewFlex Plus"/>
    <x v="2"/>
    <n v="23410"/>
  </r>
  <r>
    <x v="1"/>
    <x v="3"/>
    <s v="2D"/>
    <s v="Ultrasound"/>
    <m/>
    <x v="1"/>
    <s v="ULTRA ICE Plus"/>
    <x v="0"/>
    <n v="750"/>
  </r>
  <r>
    <x v="1"/>
    <x v="3"/>
    <s v="2D"/>
    <s v="Ultrasound"/>
    <m/>
    <x v="1"/>
    <s v="ULTRA ICE Plus"/>
    <x v="1"/>
    <n v="750"/>
  </r>
  <r>
    <x v="1"/>
    <x v="3"/>
    <s v="2D"/>
    <s v="Ultrasound"/>
    <m/>
    <x v="1"/>
    <s v="ULTRA ICE Plus"/>
    <x v="2"/>
    <n v="920"/>
  </r>
  <r>
    <x v="1"/>
    <x v="3"/>
    <s v="2D"/>
    <s v="Ultrasound"/>
    <m/>
    <x v="2"/>
    <s v="SoundStar eco"/>
    <x v="0"/>
    <n v="13840"/>
  </r>
  <r>
    <x v="1"/>
    <x v="3"/>
    <s v="2D"/>
    <s v="Ultrasound"/>
    <m/>
    <x v="2"/>
    <s v="SoundStar Crystal"/>
    <x v="0"/>
    <n v="40"/>
  </r>
  <r>
    <x v="1"/>
    <x v="3"/>
    <s v="2D"/>
    <s v="Ultrasound"/>
    <m/>
    <x v="2"/>
    <s v="SoundStar"/>
    <x v="0"/>
    <n v="60940"/>
  </r>
  <r>
    <x v="1"/>
    <x v="3"/>
    <s v="2D"/>
    <s v="Ultrasound"/>
    <m/>
    <x v="2"/>
    <s v="ACUNAV"/>
    <x v="0"/>
    <n v="20670"/>
  </r>
  <r>
    <x v="1"/>
    <x v="3"/>
    <s v="2D"/>
    <s v="Ultrasound"/>
    <m/>
    <x v="2"/>
    <s v="SoundStar eco"/>
    <x v="1"/>
    <n v="10510"/>
  </r>
  <r>
    <x v="1"/>
    <x v="3"/>
    <s v="2D"/>
    <s v="Ultrasound"/>
    <m/>
    <x v="2"/>
    <s v="SoundStar"/>
    <x v="1"/>
    <n v="51280"/>
  </r>
  <r>
    <x v="1"/>
    <x v="3"/>
    <s v="2D"/>
    <s v="Ultrasound"/>
    <m/>
    <x v="2"/>
    <s v="ACUNAV"/>
    <x v="1"/>
    <n v="18740"/>
  </r>
  <r>
    <x v="1"/>
    <x v="3"/>
    <s v="2D"/>
    <s v="Ultrasound"/>
    <m/>
    <x v="2"/>
    <s v="SoundStar eco"/>
    <x v="2"/>
    <n v="9020"/>
  </r>
  <r>
    <x v="1"/>
    <x v="3"/>
    <s v="2D"/>
    <s v="Ultrasound"/>
    <m/>
    <x v="2"/>
    <s v="SoundStar"/>
    <x v="2"/>
    <n v="53390"/>
  </r>
  <r>
    <x v="1"/>
    <x v="3"/>
    <s v="2D"/>
    <s v="Ultrasound"/>
    <m/>
    <x v="2"/>
    <s v="ACUNAV"/>
    <x v="2"/>
    <n v="18270"/>
  </r>
  <r>
    <x v="1"/>
    <x v="3"/>
    <s v="3D/4D"/>
    <s v="Ultrasound"/>
    <m/>
    <x v="2"/>
    <s v="NuVision Catheter"/>
    <x v="0"/>
    <n v="3600"/>
  </r>
  <r>
    <x v="1"/>
    <x v="3"/>
    <s v="3D/4D"/>
    <s v="Ultrasound"/>
    <m/>
    <x v="2"/>
    <s v="NuVision"/>
    <x v="0"/>
    <n v="0"/>
  </r>
  <r>
    <x v="1"/>
    <x v="3"/>
    <s v="3D/4D"/>
    <s v="Ultrasound"/>
    <m/>
    <x v="2"/>
    <s v="NuVision Catheter"/>
    <x v="1"/>
    <n v="710"/>
  </r>
  <r>
    <x v="1"/>
    <x v="3"/>
    <s v="3D/4D"/>
    <s v="Ultrasound"/>
    <m/>
    <x v="2"/>
    <s v="NuVision"/>
    <x v="1"/>
    <n v="90"/>
  </r>
  <r>
    <x v="1"/>
    <x v="3"/>
    <s v="3D/4D"/>
    <s v="Ultrasound"/>
    <m/>
    <x v="2"/>
    <s v="NuVision Catheter"/>
    <x v="2"/>
    <n v="4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C4C99-AA83-5B43-8617-A95DC7E533F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:N8" firstHeaderRow="1" firstDataRow="2" firstDataCol="1" rowPageCount="1" colPageCount="1"/>
  <pivotFields count="9">
    <pivotField axis="axisPage" multipleItemSelectionAllowed="1" showAll="0">
      <items count="3">
        <item h="1" x="0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numFmtId="3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Measure Values" fld="8" baseField="0" baseItem="0" numFmtId="3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5E071-8D3E-E041-A58D-9DEAFE39FF8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8" firstHeaderRow="1" firstDataRow="2" firstDataCol="1" rowPageCount="1" colPageCount="1"/>
  <pivotFields count="9">
    <pivotField axis="axisPage" multipleItemSelectionAllowed="1" showAll="0">
      <items count="3">
        <item x="0"/>
        <item h="1"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numFmtId="3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Measure Values" fld="8" baseField="0" baseItem="0" numFmtId="165"/>
  </dataFields>
  <formats count="1">
    <format dxfId="39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5B799-A089-3D4B-891A-ECF3EF9C9FF0}" name="PivotTable3" cacheId="1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Year" colHeaderCaption="Manufacturer">
  <location ref="H3:L7" firstHeaderRow="1" firstDataRow="2" firstDataCol="1" rowPageCount="1" colPageCount="1"/>
  <pivotFields count="9"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axis="axisCol" showAll="0" sortType="ascending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numFmtId="3" showAll="0"/>
  </pivotFields>
  <rowFields count="1">
    <field x="7"/>
  </rowFields>
  <rowItems count="3">
    <i>
      <x/>
    </i>
    <i>
      <x v="1"/>
    </i>
    <i>
      <x v="2"/>
    </i>
  </rowItems>
  <colFields count="1">
    <field x="5"/>
  </colFields>
  <colItems count="4">
    <i>
      <x/>
    </i>
    <i>
      <x v="1"/>
    </i>
    <i>
      <x v="2"/>
    </i>
    <i>
      <x v="3"/>
    </i>
  </colItems>
  <pageFields count="1">
    <pageField fld="0" hier="-1"/>
  </pageFields>
  <dataFields count="1">
    <dataField name="Sum of Measure Values" fld="8" baseField="0" baseItem="0" numFmtId="3"/>
  </dataFields>
  <formats count="14">
    <format dxfId="21">
      <pivotArea type="origin" dataOnly="0" labelOnly="1" outline="0" fieldPosition="0"/>
    </format>
    <format dxfId="20">
      <pivotArea field="5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7" type="button" dataOnly="0" labelOnly="1" outline="0" axis="axisRow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7" count="0"/>
        </references>
      </pivotArea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type="origin" dataOnly="0" labelOnly="1" outline="0" fieldPosition="0"/>
    </format>
    <format dxfId="11">
      <pivotArea field="5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</format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BAB4B-9849-A940-9ABC-768EEB26285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E7" firstHeaderRow="1" firstDataRow="2" firstDataCol="1" rowPageCount="1" colPageCount="1"/>
  <pivotFields count="9">
    <pivotField axis="axisPage" compact="0" outline="0" multipleItemSelectionAllowed="1" showAll="0" sortType="descending">
      <items count="3">
        <item x="0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ascending" defaultSubtotal="0">
      <items count="4">
        <item x="0"/>
        <item x="1"/>
        <item x="2"/>
        <item x="3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numFmtId="3" outline="0" showAll="0"/>
  </pivotFields>
  <rowFields count="1">
    <field x="7"/>
  </rowFields>
  <rowItems count="3">
    <i>
      <x/>
    </i>
    <i>
      <x v="1"/>
    </i>
    <i>
      <x v="2"/>
    </i>
  </rowItems>
  <colFields count="1">
    <field x="5"/>
  </colFields>
  <colItems count="4">
    <i>
      <x/>
    </i>
    <i>
      <x v="1"/>
    </i>
    <i>
      <x v="2"/>
    </i>
    <i>
      <x v="3"/>
    </i>
  </colItems>
  <pageFields count="1">
    <pageField fld="0" hier="-1"/>
  </pageFields>
  <dataFields count="1">
    <dataField name="Sum of Measure Values" fld="8" baseField="0" baseItem="0" numFmtId="165"/>
  </dataFields>
  <formats count="17">
    <format dxfId="38">
      <pivotArea outline="0" fieldPosition="0">
        <references count="2">
          <reference field="0" count="1" selected="0">
            <x v="0"/>
          </reference>
          <reference field="7" count="0" selected="0"/>
        </references>
      </pivotArea>
    </format>
    <format dxfId="37">
      <pivotArea outline="0" fieldPosition="0">
        <references count="1">
          <reference field="0" count="1" selected="0" defaultSubtotal="1">
            <x v="0"/>
          </reference>
        </references>
      </pivotArea>
    </format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7" count="0"/>
        </references>
      </pivotArea>
    </format>
    <format dxfId="33">
      <pivotArea type="origin" dataOnly="0" labelOnly="1" outline="0" fieldPosition="0"/>
    </format>
    <format dxfId="32">
      <pivotArea field="5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7" type="button" dataOnly="0" labelOnly="1" outline="0" axis="axisRow" fieldPosition="0"/>
    </format>
    <format dxfId="29">
      <pivotArea dataOnly="0" labelOnly="1" outline="0" fieldPosition="0">
        <references count="1">
          <reference field="5" count="0"/>
        </references>
      </pivotArea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7" count="0"/>
        </references>
      </pivotArea>
    </format>
    <format dxfId="26">
      <pivotArea type="origin" dataOnly="0" labelOnly="1" outline="0" fieldPosition="0"/>
    </format>
    <format dxfId="25">
      <pivotArea field="5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7" type="button" dataOnly="0" labelOnly="1" outline="0" axis="axisRow" fieldPosition="0"/>
    </format>
    <format dxfId="22">
      <pivotArea dataOnly="0" labelOnly="1" outline="0" fieldPosition="0">
        <references count="1">
          <reference field="5" count="0"/>
        </references>
      </pivotArea>
    </format>
  </formats>
  <chartFormats count="8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8614D-FD24-064F-9B8D-3E9E4D802160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E8" firstHeaderRow="1" firstDataRow="2" firstDataCol="1" rowPageCount="1" colPageCount="1"/>
  <pivotFields count="9">
    <pivotField axis="axisRow" showAll="0">
      <items count="3">
        <item x="0"/>
        <item h="1"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numFmtId="3" showAll="0"/>
  </pivotFields>
  <rowFields count="2">
    <field x="0"/>
    <field x="7"/>
  </rowFields>
  <rowItems count="4">
    <i>
      <x/>
    </i>
    <i r="1">
      <x/>
    </i>
    <i r="1">
      <x v="1"/>
    </i>
    <i r="1">
      <x v="2"/>
    </i>
  </rowItems>
  <colFields count="1">
    <field x="1"/>
  </colFields>
  <colItems count="4">
    <i>
      <x/>
    </i>
    <i>
      <x v="1"/>
    </i>
    <i>
      <x v="2"/>
    </i>
    <i>
      <x v="3"/>
    </i>
  </colItems>
  <pageFields count="1">
    <pageField fld="5" hier="-1"/>
  </pageFields>
  <dataFields count="1">
    <dataField name="Sum of Measure Values" fld="8" baseField="0" baseItem="0" numFmtId="165"/>
  </dataFields>
  <formats count="1">
    <format dxfId="0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C15A9-E895-AD48-8DFF-99F56A42001D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H3:L8" firstHeaderRow="1" firstDataRow="2" firstDataCol="1" rowPageCount="1" colPageCount="1"/>
  <pivotFields count="9">
    <pivotField axis="axisRow" showAll="0">
      <items count="3">
        <item h="1" x="0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numFmtId="3" showAll="0"/>
  </pivotFields>
  <rowFields count="2">
    <field x="0"/>
    <field x="7"/>
  </rowFields>
  <rowItems count="4">
    <i>
      <x v="1"/>
    </i>
    <i r="1">
      <x/>
    </i>
    <i r="1">
      <x v="1"/>
    </i>
    <i r="1">
      <x v="2"/>
    </i>
  </rowItems>
  <colFields count="1">
    <field x="1"/>
  </colFields>
  <colItems count="4">
    <i>
      <x/>
    </i>
    <i>
      <x v="1"/>
    </i>
    <i>
      <x v="2"/>
    </i>
    <i>
      <x v="3"/>
    </i>
  </colItems>
  <pageFields count="1">
    <pageField fld="5" hier="-1"/>
  </pageFields>
  <dataFields count="1">
    <dataField name="Sum of Measure Values" fld="8" baseField="0" baseItem="0" numFmtId="3"/>
  </dataFields>
  <formats count="1">
    <format dxfId="1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6CB79-2365-B44B-B21F-FEF72EB97073}" name="Table1" displayName="Table1" ref="A1:I397" totalsRowShown="0" headerRowDxfId="41">
  <autoFilter ref="A1:I397" xr:uid="{ED1F33CD-187A-B24C-A6BF-56E54A6EF25F}"/>
  <tableColumns count="9">
    <tableColumn id="1" xr3:uid="{322E1789-411B-6643-9146-04C586B4EC4A}" name="Measure Names"/>
    <tableColumn id="2" xr3:uid="{93EAE38E-F606-1C40-9E5F-FA73FE80BF77}" name="Product Type"/>
    <tableColumn id="3" xr3:uid="{25F82CA7-D0FA-CA41-9EA8-C8AC55A463D5}" name="Subtype 2"/>
    <tableColumn id="4" xr3:uid="{D5BE53E5-23CE-EB46-8E4D-5D7F729322DC}" name="Subtype 3"/>
    <tableColumn id="5" xr3:uid="{980286F7-EC78-944F-9164-B5B357F6BF0E}" name="Energy Modality"/>
    <tableColumn id="6" xr3:uid="{4CA0D92A-DB7D-7D45-A661-8FD6590201E3}" name="Manufacturer"/>
    <tableColumn id="7" xr3:uid="{548CCC93-B29D-C245-8FB8-0029647909FC}" name="Model"/>
    <tableColumn id="8" xr3:uid="{48AAFF81-2623-2D42-BC9D-32200F5FD9CD}" name="Year"/>
    <tableColumn id="9" xr3:uid="{A2AE688E-4218-364E-B643-8A0A3B941A60}" name="Measure Values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303FE6-4226-6A4E-8958-B8F2BD669C81}" name="Table4" displayName="Table4" ref="A2:D4" totalsRowShown="0" headerRowDxfId="7" dataDxfId="6" dataCellStyle="20% - Accent1">
  <tableColumns count="4">
    <tableColumn id="1" xr3:uid="{65EAA9B5-3ACC-A84C-9A07-2FDB4DD45D49}" name="Measure" dataDxfId="5" dataCellStyle="20% - Accent1"/>
    <tableColumn id="2" xr3:uid="{4A498EAF-2BA7-0F4F-847C-489398756D57}" name="Market " dataDxfId="4" dataCellStyle="20% - Accent1">
      <calculatedColumnFormula>SUMIFS(Measure_Vaules,Measure_Names, "Revenue", Year, 2024)</calculatedColumnFormula>
    </tableColumn>
    <tableColumn id="3" xr3:uid="{D544B93B-5A4F-954B-8D50-04717596BA31}" name="JustPulse  Medical" dataDxfId="3" dataCellStyle="20% - Accent1">
      <calculatedColumnFormula>SUMIFS(Measure_Vaules,Measure_Names, "Revenue", Year, 2024, Manufacturer, "JustPulse Medical")</calculatedColumnFormula>
    </tableColumn>
    <tableColumn id="4" xr3:uid="{17E641BA-5251-DF44-BE66-1F63C5E49E50}" name=" Share (%)" dataDxfId="2" dataCellStyle="20% - Accent1">
      <calculatedColumnFormula>ROUND(JustPulse_Revenue/Market_Units, 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1808-CC85-4950-94C3-427674EFBBBA}">
  <dimension ref="A1:I397"/>
  <sheetViews>
    <sheetView zoomScale="99" zoomScaleNormal="100" workbookViewId="0">
      <selection activeCell="F5" sqref="F5"/>
    </sheetView>
  </sheetViews>
  <sheetFormatPr baseColWidth="10" defaultColWidth="8.83203125" defaultRowHeight="15" x14ac:dyDescent="0.2"/>
  <cols>
    <col min="1" max="1" width="17.6640625" bestFit="1" customWidth="1"/>
    <col min="2" max="2" width="14.5" bestFit="1" customWidth="1"/>
    <col min="3" max="3" width="15.1640625" bestFit="1" customWidth="1"/>
    <col min="4" max="4" width="21.1640625" bestFit="1" customWidth="1"/>
    <col min="5" max="5" width="17.1640625" bestFit="1" customWidth="1"/>
    <col min="6" max="6" width="15.1640625" bestFit="1" customWidth="1"/>
    <col min="7" max="7" width="26.5" bestFit="1" customWidth="1"/>
    <col min="8" max="8" width="18.6640625" bestFit="1" customWidth="1"/>
    <col min="9" max="9" width="15.33203125" bestFit="1" customWidth="1"/>
  </cols>
  <sheetData>
    <row r="1" spans="1:9" x14ac:dyDescent="0.2">
      <c r="A1" s="8" t="s">
        <v>0</v>
      </c>
      <c r="B1" s="8" t="s">
        <v>1</v>
      </c>
      <c r="C1" s="8" t="s">
        <v>2</v>
      </c>
      <c r="D1" s="8" t="s">
        <v>4</v>
      </c>
      <c r="E1" s="8" t="s">
        <v>3</v>
      </c>
      <c r="F1" s="8" t="s">
        <v>5</v>
      </c>
      <c r="G1" s="8" t="s">
        <v>6</v>
      </c>
      <c r="H1" s="8" t="s">
        <v>99</v>
      </c>
      <c r="I1" s="8" t="s">
        <v>7</v>
      </c>
    </row>
    <row r="2" spans="1:9" x14ac:dyDescent="0.2">
      <c r="A2" s="6" t="s">
        <v>97</v>
      </c>
      <c r="B2" s="6" t="s">
        <v>8</v>
      </c>
      <c r="C2" s="6" t="s">
        <v>9</v>
      </c>
      <c r="D2" s="6"/>
      <c r="E2" s="6"/>
      <c r="F2" s="6" t="s">
        <v>100</v>
      </c>
      <c r="G2" s="6" t="s">
        <v>10</v>
      </c>
      <c r="H2" s="6">
        <v>2024</v>
      </c>
      <c r="I2" s="7">
        <v>79679960</v>
      </c>
    </row>
    <row r="3" spans="1:9" x14ac:dyDescent="0.2">
      <c r="A3" s="6" t="s">
        <v>97</v>
      </c>
      <c r="B3" s="6" t="s">
        <v>8</v>
      </c>
      <c r="C3" s="6" t="s">
        <v>9</v>
      </c>
      <c r="D3" s="6"/>
      <c r="E3" s="6"/>
      <c r="F3" s="6" t="s">
        <v>100</v>
      </c>
      <c r="G3" s="6" t="s">
        <v>11</v>
      </c>
      <c r="H3" s="6">
        <v>2024</v>
      </c>
      <c r="I3" s="7">
        <v>11191780</v>
      </c>
    </row>
    <row r="4" spans="1:9" x14ac:dyDescent="0.2">
      <c r="A4" s="6" t="s">
        <v>97</v>
      </c>
      <c r="B4" s="6" t="s">
        <v>8</v>
      </c>
      <c r="C4" s="6" t="s">
        <v>9</v>
      </c>
      <c r="D4" s="6"/>
      <c r="E4" s="6"/>
      <c r="F4" s="6" t="s">
        <v>100</v>
      </c>
      <c r="G4" s="6" t="s">
        <v>12</v>
      </c>
      <c r="H4" s="6">
        <v>2024</v>
      </c>
      <c r="I4" s="7">
        <v>223390</v>
      </c>
    </row>
    <row r="5" spans="1:9" x14ac:dyDescent="0.2">
      <c r="A5" s="6" t="s">
        <v>97</v>
      </c>
      <c r="B5" s="6" t="s">
        <v>8</v>
      </c>
      <c r="C5" s="6" t="s">
        <v>9</v>
      </c>
      <c r="D5" s="6"/>
      <c r="E5" s="6"/>
      <c r="F5" s="6" t="s">
        <v>100</v>
      </c>
      <c r="G5" s="6" t="s">
        <v>10</v>
      </c>
      <c r="H5" s="6">
        <v>2023</v>
      </c>
      <c r="I5" s="7">
        <v>51092740</v>
      </c>
    </row>
    <row r="6" spans="1:9" x14ac:dyDescent="0.2">
      <c r="A6" s="6" t="s">
        <v>97</v>
      </c>
      <c r="B6" s="6" t="s">
        <v>8</v>
      </c>
      <c r="C6" s="6" t="s">
        <v>9</v>
      </c>
      <c r="D6" s="6"/>
      <c r="E6" s="6"/>
      <c r="F6" s="6" t="s">
        <v>100</v>
      </c>
      <c r="G6" s="6" t="s">
        <v>11</v>
      </c>
      <c r="H6" s="6">
        <v>2023</v>
      </c>
      <c r="I6" s="7">
        <v>24532160</v>
      </c>
    </row>
    <row r="7" spans="1:9" x14ac:dyDescent="0.2">
      <c r="A7" s="6" t="s">
        <v>97</v>
      </c>
      <c r="B7" s="6" t="s">
        <v>8</v>
      </c>
      <c r="C7" s="6" t="s">
        <v>9</v>
      </c>
      <c r="D7" s="6"/>
      <c r="E7" s="6"/>
      <c r="F7" s="6" t="s">
        <v>100</v>
      </c>
      <c r="G7" s="6" t="s">
        <v>12</v>
      </c>
      <c r="H7" s="6">
        <v>2023</v>
      </c>
      <c r="I7" s="7">
        <v>204750</v>
      </c>
    </row>
    <row r="8" spans="1:9" x14ac:dyDescent="0.2">
      <c r="A8" s="6" t="s">
        <v>97</v>
      </c>
      <c r="B8" s="6" t="s">
        <v>8</v>
      </c>
      <c r="C8" s="6" t="s">
        <v>9</v>
      </c>
      <c r="D8" s="6"/>
      <c r="E8" s="6"/>
      <c r="F8" s="6" t="s">
        <v>100</v>
      </c>
      <c r="G8" s="6" t="s">
        <v>13</v>
      </c>
      <c r="H8" s="6">
        <v>2023</v>
      </c>
      <c r="I8" s="7">
        <v>20550</v>
      </c>
    </row>
    <row r="9" spans="1:9" x14ac:dyDescent="0.2">
      <c r="A9" s="6" t="s">
        <v>97</v>
      </c>
      <c r="B9" s="6" t="s">
        <v>8</v>
      </c>
      <c r="C9" s="6" t="s">
        <v>9</v>
      </c>
      <c r="D9" s="6"/>
      <c r="E9" s="6"/>
      <c r="F9" s="6" t="s">
        <v>100</v>
      </c>
      <c r="G9" s="6" t="s">
        <v>10</v>
      </c>
      <c r="H9" s="6">
        <v>2022</v>
      </c>
      <c r="I9" s="7">
        <v>25250070</v>
      </c>
    </row>
    <row r="10" spans="1:9" x14ac:dyDescent="0.2">
      <c r="A10" s="6" t="s">
        <v>97</v>
      </c>
      <c r="B10" s="6" t="s">
        <v>8</v>
      </c>
      <c r="C10" s="6" t="s">
        <v>9</v>
      </c>
      <c r="D10" s="6"/>
      <c r="E10" s="6"/>
      <c r="F10" s="6" t="s">
        <v>100</v>
      </c>
      <c r="G10" s="6" t="s">
        <v>11</v>
      </c>
      <c r="H10" s="6">
        <v>2022</v>
      </c>
      <c r="I10" s="7">
        <v>42594610</v>
      </c>
    </row>
    <row r="11" spans="1:9" x14ac:dyDescent="0.2">
      <c r="A11" s="6" t="s">
        <v>97</v>
      </c>
      <c r="B11" s="6" t="s">
        <v>8</v>
      </c>
      <c r="C11" s="6" t="s">
        <v>9</v>
      </c>
      <c r="D11" s="6"/>
      <c r="E11" s="6"/>
      <c r="F11" s="6" t="s">
        <v>100</v>
      </c>
      <c r="G11" s="6" t="s">
        <v>12</v>
      </c>
      <c r="H11" s="6">
        <v>2022</v>
      </c>
      <c r="I11" s="7">
        <v>253740</v>
      </c>
    </row>
    <row r="12" spans="1:9" x14ac:dyDescent="0.2">
      <c r="A12" s="6" t="s">
        <v>97</v>
      </c>
      <c r="B12" s="6" t="s">
        <v>8</v>
      </c>
      <c r="C12" s="6" t="s">
        <v>9</v>
      </c>
      <c r="D12" s="6"/>
      <c r="E12" s="6"/>
      <c r="F12" s="6" t="s">
        <v>100</v>
      </c>
      <c r="G12" s="6" t="s">
        <v>13</v>
      </c>
      <c r="H12" s="6">
        <v>2022</v>
      </c>
      <c r="I12" s="7">
        <v>153270</v>
      </c>
    </row>
    <row r="13" spans="1:9" x14ac:dyDescent="0.2">
      <c r="A13" s="6" t="s">
        <v>97</v>
      </c>
      <c r="B13" s="6" t="s">
        <v>8</v>
      </c>
      <c r="C13" s="6" t="s">
        <v>9</v>
      </c>
      <c r="D13" s="6"/>
      <c r="E13" s="6"/>
      <c r="F13" s="6" t="s">
        <v>101</v>
      </c>
      <c r="G13" s="6" t="s">
        <v>14</v>
      </c>
      <c r="H13" s="6">
        <v>2024</v>
      </c>
      <c r="I13" s="7">
        <v>3810280</v>
      </c>
    </row>
    <row r="14" spans="1:9" x14ac:dyDescent="0.2">
      <c r="A14" s="6" t="s">
        <v>97</v>
      </c>
      <c r="B14" s="6" t="s">
        <v>8</v>
      </c>
      <c r="C14" s="6" t="s">
        <v>9</v>
      </c>
      <c r="D14" s="6"/>
      <c r="E14" s="6"/>
      <c r="F14" s="6" t="s">
        <v>101</v>
      </c>
      <c r="G14" s="6" t="s">
        <v>14</v>
      </c>
      <c r="H14" s="6">
        <v>2023</v>
      </c>
      <c r="I14" s="7">
        <v>3137830</v>
      </c>
    </row>
    <row r="15" spans="1:9" x14ac:dyDescent="0.2">
      <c r="A15" s="6" t="s">
        <v>97</v>
      </c>
      <c r="B15" s="6" t="s">
        <v>8</v>
      </c>
      <c r="C15" s="6" t="s">
        <v>9</v>
      </c>
      <c r="D15" s="6"/>
      <c r="E15" s="6"/>
      <c r="F15" s="6" t="s">
        <v>101</v>
      </c>
      <c r="G15" s="6" t="s">
        <v>14</v>
      </c>
      <c r="H15" s="6">
        <v>2022</v>
      </c>
      <c r="I15" s="7">
        <v>2876790</v>
      </c>
    </row>
    <row r="16" spans="1:9" x14ac:dyDescent="0.2">
      <c r="A16" s="6" t="s">
        <v>97</v>
      </c>
      <c r="B16" s="6" t="s">
        <v>8</v>
      </c>
      <c r="C16" s="6" t="s">
        <v>9</v>
      </c>
      <c r="D16" s="6"/>
      <c r="E16" s="6"/>
      <c r="F16" s="6" t="s">
        <v>103</v>
      </c>
      <c r="G16" s="6" t="s">
        <v>15</v>
      </c>
      <c r="H16" s="6">
        <v>2024</v>
      </c>
      <c r="I16" s="7">
        <v>75274380</v>
      </c>
    </row>
    <row r="17" spans="1:9" x14ac:dyDescent="0.2">
      <c r="A17" s="6" t="s">
        <v>97</v>
      </c>
      <c r="B17" s="6" t="s">
        <v>8</v>
      </c>
      <c r="C17" s="6" t="s">
        <v>9</v>
      </c>
      <c r="D17" s="6"/>
      <c r="E17" s="6"/>
      <c r="F17" s="6" t="s">
        <v>103</v>
      </c>
      <c r="G17" s="6" t="s">
        <v>15</v>
      </c>
      <c r="H17" s="6">
        <v>2023</v>
      </c>
      <c r="I17" s="7">
        <v>63374780</v>
      </c>
    </row>
    <row r="18" spans="1:9" x14ac:dyDescent="0.2">
      <c r="A18" s="6" t="s">
        <v>97</v>
      </c>
      <c r="B18" s="6" t="s">
        <v>8</v>
      </c>
      <c r="C18" s="6" t="s">
        <v>9</v>
      </c>
      <c r="D18" s="6"/>
      <c r="E18" s="6"/>
      <c r="F18" s="6" t="s">
        <v>103</v>
      </c>
      <c r="G18" s="6" t="s">
        <v>15</v>
      </c>
      <c r="H18" s="6">
        <v>2022</v>
      </c>
      <c r="I18" s="7">
        <v>53121150</v>
      </c>
    </row>
    <row r="19" spans="1:9" x14ac:dyDescent="0.2">
      <c r="A19" s="6" t="s">
        <v>97</v>
      </c>
      <c r="B19" s="6" t="s">
        <v>8</v>
      </c>
      <c r="C19" s="6" t="s">
        <v>9</v>
      </c>
      <c r="D19" s="6"/>
      <c r="E19" s="6"/>
      <c r="F19" s="6" t="s">
        <v>102</v>
      </c>
      <c r="G19" s="6" t="s">
        <v>16</v>
      </c>
      <c r="H19" s="6">
        <v>2024</v>
      </c>
      <c r="I19" s="7">
        <v>386840</v>
      </c>
    </row>
    <row r="20" spans="1:9" x14ac:dyDescent="0.2">
      <c r="A20" s="6" t="s">
        <v>97</v>
      </c>
      <c r="B20" s="6" t="s">
        <v>17</v>
      </c>
      <c r="C20" s="6" t="s">
        <v>18</v>
      </c>
      <c r="D20" s="6" t="s">
        <v>19</v>
      </c>
      <c r="E20" s="6"/>
      <c r="F20" s="6" t="s">
        <v>100</v>
      </c>
      <c r="G20" s="6" t="s">
        <v>20</v>
      </c>
      <c r="H20" s="6">
        <v>2024</v>
      </c>
      <c r="I20" s="7">
        <v>313670</v>
      </c>
    </row>
    <row r="21" spans="1:9" x14ac:dyDescent="0.2">
      <c r="A21" s="6" t="s">
        <v>97</v>
      </c>
      <c r="B21" s="6" t="s">
        <v>17</v>
      </c>
      <c r="C21" s="6" t="s">
        <v>18</v>
      </c>
      <c r="D21" s="6" t="s">
        <v>19</v>
      </c>
      <c r="E21" s="6"/>
      <c r="F21" s="6" t="s">
        <v>100</v>
      </c>
      <c r="G21" s="6" t="s">
        <v>21</v>
      </c>
      <c r="H21" s="6">
        <v>2024</v>
      </c>
      <c r="I21" s="7">
        <v>77878860</v>
      </c>
    </row>
    <row r="22" spans="1:9" x14ac:dyDescent="0.2">
      <c r="A22" s="6" t="s">
        <v>97</v>
      </c>
      <c r="B22" s="6" t="s">
        <v>17</v>
      </c>
      <c r="C22" s="6" t="s">
        <v>18</v>
      </c>
      <c r="D22" s="6" t="s">
        <v>19</v>
      </c>
      <c r="E22" s="6"/>
      <c r="F22" s="6" t="s">
        <v>100</v>
      </c>
      <c r="G22" s="6" t="s">
        <v>22</v>
      </c>
      <c r="H22" s="6">
        <v>2023</v>
      </c>
      <c r="I22" s="7">
        <v>160</v>
      </c>
    </row>
    <row r="23" spans="1:9" x14ac:dyDescent="0.2">
      <c r="A23" s="6" t="s">
        <v>97</v>
      </c>
      <c r="B23" s="6" t="s">
        <v>17</v>
      </c>
      <c r="C23" s="6" t="s">
        <v>18</v>
      </c>
      <c r="D23" s="6" t="s">
        <v>19</v>
      </c>
      <c r="E23" s="6"/>
      <c r="F23" s="6" t="s">
        <v>100</v>
      </c>
      <c r="G23" s="6" t="s">
        <v>23</v>
      </c>
      <c r="H23" s="6">
        <v>2023</v>
      </c>
      <c r="I23" s="7">
        <v>79340</v>
      </c>
    </row>
    <row r="24" spans="1:9" x14ac:dyDescent="0.2">
      <c r="A24" s="6" t="s">
        <v>97</v>
      </c>
      <c r="B24" s="6" t="s">
        <v>17</v>
      </c>
      <c r="C24" s="6" t="s">
        <v>18</v>
      </c>
      <c r="D24" s="6" t="s">
        <v>19</v>
      </c>
      <c r="E24" s="6"/>
      <c r="F24" s="6" t="s">
        <v>100</v>
      </c>
      <c r="G24" s="6" t="s">
        <v>21</v>
      </c>
      <c r="H24" s="6">
        <v>2023</v>
      </c>
      <c r="I24" s="7">
        <v>54928190</v>
      </c>
    </row>
    <row r="25" spans="1:9" x14ac:dyDescent="0.2">
      <c r="A25" s="6" t="s">
        <v>97</v>
      </c>
      <c r="B25" s="6" t="s">
        <v>17</v>
      </c>
      <c r="C25" s="6" t="s">
        <v>18</v>
      </c>
      <c r="D25" s="6" t="s">
        <v>19</v>
      </c>
      <c r="E25" s="6"/>
      <c r="F25" s="6" t="s">
        <v>100</v>
      </c>
      <c r="G25" s="6" t="s">
        <v>22</v>
      </c>
      <c r="H25" s="6">
        <v>2022</v>
      </c>
      <c r="I25" s="7">
        <v>120</v>
      </c>
    </row>
    <row r="26" spans="1:9" x14ac:dyDescent="0.2">
      <c r="A26" s="6" t="s">
        <v>97</v>
      </c>
      <c r="B26" s="6" t="s">
        <v>17</v>
      </c>
      <c r="C26" s="6" t="s">
        <v>18</v>
      </c>
      <c r="D26" s="6" t="s">
        <v>19</v>
      </c>
      <c r="E26" s="6"/>
      <c r="F26" s="6" t="s">
        <v>100</v>
      </c>
      <c r="G26" s="6" t="s">
        <v>23</v>
      </c>
      <c r="H26" s="6">
        <v>2022</v>
      </c>
      <c r="I26" s="7">
        <v>271920</v>
      </c>
    </row>
    <row r="27" spans="1:9" x14ac:dyDescent="0.2">
      <c r="A27" s="6" t="s">
        <v>97</v>
      </c>
      <c r="B27" s="6" t="s">
        <v>17</v>
      </c>
      <c r="C27" s="6" t="s">
        <v>18</v>
      </c>
      <c r="D27" s="6" t="s">
        <v>19</v>
      </c>
      <c r="E27" s="6"/>
      <c r="F27" s="6" t="s">
        <v>100</v>
      </c>
      <c r="G27" s="6" t="s">
        <v>21</v>
      </c>
      <c r="H27" s="6">
        <v>2022</v>
      </c>
      <c r="I27" s="7">
        <v>46333200</v>
      </c>
    </row>
    <row r="28" spans="1:9" x14ac:dyDescent="0.2">
      <c r="A28" s="6" t="s">
        <v>97</v>
      </c>
      <c r="B28" s="6" t="s">
        <v>17</v>
      </c>
      <c r="C28" s="6" t="s">
        <v>18</v>
      </c>
      <c r="D28" s="6" t="s">
        <v>19</v>
      </c>
      <c r="E28" s="6"/>
      <c r="F28" s="6" t="s">
        <v>101</v>
      </c>
      <c r="G28" s="6" t="s">
        <v>24</v>
      </c>
      <c r="H28" s="6">
        <v>2024</v>
      </c>
      <c r="I28" s="7">
        <v>10124540</v>
      </c>
    </row>
    <row r="29" spans="1:9" x14ac:dyDescent="0.2">
      <c r="A29" s="6" t="s">
        <v>97</v>
      </c>
      <c r="B29" s="6" t="s">
        <v>17</v>
      </c>
      <c r="C29" s="6" t="s">
        <v>18</v>
      </c>
      <c r="D29" s="6" t="s">
        <v>19</v>
      </c>
      <c r="E29" s="6"/>
      <c r="F29" s="6" t="s">
        <v>101</v>
      </c>
      <c r="G29" s="6" t="s">
        <v>24</v>
      </c>
      <c r="H29" s="6">
        <v>2023</v>
      </c>
      <c r="I29" s="7">
        <v>10072060</v>
      </c>
    </row>
    <row r="30" spans="1:9" x14ac:dyDescent="0.2">
      <c r="A30" s="6" t="s">
        <v>97</v>
      </c>
      <c r="B30" s="6" t="s">
        <v>17</v>
      </c>
      <c r="C30" s="6" t="s">
        <v>18</v>
      </c>
      <c r="D30" s="6" t="s">
        <v>19</v>
      </c>
      <c r="E30" s="6"/>
      <c r="F30" s="6" t="s">
        <v>101</v>
      </c>
      <c r="G30" s="6" t="s">
        <v>24</v>
      </c>
      <c r="H30" s="6">
        <v>2022</v>
      </c>
      <c r="I30" s="7">
        <v>8951230</v>
      </c>
    </row>
    <row r="31" spans="1:9" x14ac:dyDescent="0.2">
      <c r="A31" s="6" t="s">
        <v>97</v>
      </c>
      <c r="B31" s="6" t="s">
        <v>17</v>
      </c>
      <c r="C31" s="6" t="s">
        <v>18</v>
      </c>
      <c r="D31" s="6" t="s">
        <v>19</v>
      </c>
      <c r="E31" s="6"/>
      <c r="F31" s="6" t="s">
        <v>101</v>
      </c>
      <c r="G31" s="6" t="s">
        <v>25</v>
      </c>
      <c r="H31" s="6">
        <v>2022</v>
      </c>
      <c r="I31" s="7">
        <v>67260</v>
      </c>
    </row>
    <row r="32" spans="1:9" x14ac:dyDescent="0.2">
      <c r="A32" s="6" t="s">
        <v>97</v>
      </c>
      <c r="B32" s="6" t="s">
        <v>17</v>
      </c>
      <c r="C32" s="6" t="s">
        <v>18</v>
      </c>
      <c r="D32" s="6" t="s">
        <v>19</v>
      </c>
      <c r="E32" s="6"/>
      <c r="F32" s="6" t="s">
        <v>103</v>
      </c>
      <c r="G32" s="6" t="s">
        <v>26</v>
      </c>
      <c r="H32" s="6">
        <v>2024</v>
      </c>
      <c r="I32" s="7">
        <v>47255160</v>
      </c>
    </row>
    <row r="33" spans="1:9" x14ac:dyDescent="0.2">
      <c r="A33" s="6" t="s">
        <v>97</v>
      </c>
      <c r="B33" s="6" t="s">
        <v>17</v>
      </c>
      <c r="C33" s="6" t="s">
        <v>18</v>
      </c>
      <c r="D33" s="6" t="s">
        <v>19</v>
      </c>
      <c r="E33" s="6"/>
      <c r="F33" s="6" t="s">
        <v>103</v>
      </c>
      <c r="G33" s="6" t="s">
        <v>27</v>
      </c>
      <c r="H33" s="6">
        <v>2024</v>
      </c>
      <c r="I33" s="7">
        <v>20151810</v>
      </c>
    </row>
    <row r="34" spans="1:9" x14ac:dyDescent="0.2">
      <c r="A34" s="6" t="s">
        <v>97</v>
      </c>
      <c r="B34" s="6" t="s">
        <v>17</v>
      </c>
      <c r="C34" s="6" t="s">
        <v>18</v>
      </c>
      <c r="D34" s="6" t="s">
        <v>19</v>
      </c>
      <c r="E34" s="6"/>
      <c r="F34" s="6" t="s">
        <v>103</v>
      </c>
      <c r="G34" s="6" t="s">
        <v>28</v>
      </c>
      <c r="H34" s="6">
        <v>2024</v>
      </c>
      <c r="I34" s="7">
        <v>178624450</v>
      </c>
    </row>
    <row r="35" spans="1:9" x14ac:dyDescent="0.2">
      <c r="A35" s="6" t="s">
        <v>97</v>
      </c>
      <c r="B35" s="6" t="s">
        <v>17</v>
      </c>
      <c r="C35" s="6" t="s">
        <v>18</v>
      </c>
      <c r="D35" s="6" t="s">
        <v>19</v>
      </c>
      <c r="E35" s="6"/>
      <c r="F35" s="6" t="s">
        <v>103</v>
      </c>
      <c r="G35" s="6" t="s">
        <v>29</v>
      </c>
      <c r="H35" s="6">
        <v>2024</v>
      </c>
      <c r="I35" s="7">
        <v>52923000</v>
      </c>
    </row>
    <row r="36" spans="1:9" x14ac:dyDescent="0.2">
      <c r="A36" s="6" t="s">
        <v>97</v>
      </c>
      <c r="B36" s="6" t="s">
        <v>17</v>
      </c>
      <c r="C36" s="6" t="s">
        <v>18</v>
      </c>
      <c r="D36" s="6" t="s">
        <v>19</v>
      </c>
      <c r="E36" s="6"/>
      <c r="F36" s="6" t="s">
        <v>103</v>
      </c>
      <c r="G36" s="6" t="s">
        <v>26</v>
      </c>
      <c r="H36" s="6">
        <v>2023</v>
      </c>
      <c r="I36" s="7">
        <v>60475060</v>
      </c>
    </row>
    <row r="37" spans="1:9" x14ac:dyDescent="0.2">
      <c r="A37" s="6" t="s">
        <v>97</v>
      </c>
      <c r="B37" s="6" t="s">
        <v>17</v>
      </c>
      <c r="C37" s="6" t="s">
        <v>18</v>
      </c>
      <c r="D37" s="6" t="s">
        <v>19</v>
      </c>
      <c r="E37" s="6"/>
      <c r="F37" s="6" t="s">
        <v>103</v>
      </c>
      <c r="G37" s="6" t="s">
        <v>27</v>
      </c>
      <c r="H37" s="6">
        <v>2023</v>
      </c>
      <c r="I37" s="7">
        <v>14129430</v>
      </c>
    </row>
    <row r="38" spans="1:9" x14ac:dyDescent="0.2">
      <c r="A38" s="6" t="s">
        <v>97</v>
      </c>
      <c r="B38" s="6" t="s">
        <v>17</v>
      </c>
      <c r="C38" s="6" t="s">
        <v>18</v>
      </c>
      <c r="D38" s="6" t="s">
        <v>19</v>
      </c>
      <c r="E38" s="6"/>
      <c r="F38" s="6" t="s">
        <v>103</v>
      </c>
      <c r="G38" s="6" t="s">
        <v>28</v>
      </c>
      <c r="H38" s="6">
        <v>2023</v>
      </c>
      <c r="I38" s="7">
        <v>130810390</v>
      </c>
    </row>
    <row r="39" spans="1:9" x14ac:dyDescent="0.2">
      <c r="A39" s="6" t="s">
        <v>97</v>
      </c>
      <c r="B39" s="6" t="s">
        <v>17</v>
      </c>
      <c r="C39" s="6" t="s">
        <v>18</v>
      </c>
      <c r="D39" s="6" t="s">
        <v>19</v>
      </c>
      <c r="E39" s="6"/>
      <c r="F39" s="6" t="s">
        <v>103</v>
      </c>
      <c r="G39" s="6" t="s">
        <v>29</v>
      </c>
      <c r="H39" s="6">
        <v>2023</v>
      </c>
      <c r="I39" s="7">
        <v>43951590</v>
      </c>
    </row>
    <row r="40" spans="1:9" x14ac:dyDescent="0.2">
      <c r="A40" s="6" t="s">
        <v>97</v>
      </c>
      <c r="B40" s="6" t="s">
        <v>17</v>
      </c>
      <c r="C40" s="6" t="s">
        <v>18</v>
      </c>
      <c r="D40" s="6" t="s">
        <v>19</v>
      </c>
      <c r="E40" s="6"/>
      <c r="F40" s="6" t="s">
        <v>103</v>
      </c>
      <c r="G40" s="6" t="s">
        <v>26</v>
      </c>
      <c r="H40" s="6">
        <v>2022</v>
      </c>
      <c r="I40" s="7">
        <v>105124720</v>
      </c>
    </row>
    <row r="41" spans="1:9" x14ac:dyDescent="0.2">
      <c r="A41" s="6" t="s">
        <v>97</v>
      </c>
      <c r="B41" s="6" t="s">
        <v>17</v>
      </c>
      <c r="C41" s="6" t="s">
        <v>18</v>
      </c>
      <c r="D41" s="6" t="s">
        <v>19</v>
      </c>
      <c r="E41" s="6"/>
      <c r="F41" s="6" t="s">
        <v>103</v>
      </c>
      <c r="G41" s="6" t="s">
        <v>27</v>
      </c>
      <c r="H41" s="6">
        <v>2022</v>
      </c>
      <c r="I41" s="7">
        <v>732200</v>
      </c>
    </row>
    <row r="42" spans="1:9" x14ac:dyDescent="0.2">
      <c r="A42" s="6" t="s">
        <v>97</v>
      </c>
      <c r="B42" s="6" t="s">
        <v>17</v>
      </c>
      <c r="C42" s="6" t="s">
        <v>18</v>
      </c>
      <c r="D42" s="6" t="s">
        <v>19</v>
      </c>
      <c r="E42" s="6"/>
      <c r="F42" s="6" t="s">
        <v>103</v>
      </c>
      <c r="G42" s="6" t="s">
        <v>28</v>
      </c>
      <c r="H42" s="6">
        <v>2022</v>
      </c>
      <c r="I42" s="7">
        <v>40335290</v>
      </c>
    </row>
    <row r="43" spans="1:9" x14ac:dyDescent="0.2">
      <c r="A43" s="6" t="s">
        <v>97</v>
      </c>
      <c r="B43" s="6" t="s">
        <v>17</v>
      </c>
      <c r="C43" s="6" t="s">
        <v>18</v>
      </c>
      <c r="D43" s="6" t="s">
        <v>19</v>
      </c>
      <c r="E43" s="6"/>
      <c r="F43" s="6" t="s">
        <v>103</v>
      </c>
      <c r="G43" s="6" t="s">
        <v>29</v>
      </c>
      <c r="H43" s="6">
        <v>2022</v>
      </c>
      <c r="I43" s="7">
        <v>33955890</v>
      </c>
    </row>
    <row r="44" spans="1:9" x14ac:dyDescent="0.2">
      <c r="A44" s="6" t="s">
        <v>97</v>
      </c>
      <c r="B44" s="6" t="s">
        <v>17</v>
      </c>
      <c r="C44" s="6" t="s">
        <v>18</v>
      </c>
      <c r="D44" s="6" t="s">
        <v>30</v>
      </c>
      <c r="E44" s="6"/>
      <c r="F44" s="6" t="s">
        <v>100</v>
      </c>
      <c r="G44" s="6" t="s">
        <v>31</v>
      </c>
      <c r="H44" s="6">
        <v>2024</v>
      </c>
      <c r="I44" s="7">
        <v>197850</v>
      </c>
    </row>
    <row r="45" spans="1:9" x14ac:dyDescent="0.2">
      <c r="A45" s="6" t="s">
        <v>97</v>
      </c>
      <c r="B45" s="6" t="s">
        <v>17</v>
      </c>
      <c r="C45" s="6" t="s">
        <v>18</v>
      </c>
      <c r="D45" s="6" t="s">
        <v>30</v>
      </c>
      <c r="E45" s="6"/>
      <c r="F45" s="6" t="s">
        <v>100</v>
      </c>
      <c r="G45" s="6" t="s">
        <v>32</v>
      </c>
      <c r="H45" s="6">
        <v>2024</v>
      </c>
      <c r="I45" s="7">
        <v>3890</v>
      </c>
    </row>
    <row r="46" spans="1:9" x14ac:dyDescent="0.2">
      <c r="A46" s="6" t="s">
        <v>97</v>
      </c>
      <c r="B46" s="6" t="s">
        <v>17</v>
      </c>
      <c r="C46" s="6" t="s">
        <v>18</v>
      </c>
      <c r="D46" s="6" t="s">
        <v>30</v>
      </c>
      <c r="E46" s="6"/>
      <c r="F46" s="6" t="s">
        <v>100</v>
      </c>
      <c r="G46" s="6" t="s">
        <v>33</v>
      </c>
      <c r="H46" s="6">
        <v>2024</v>
      </c>
      <c r="I46" s="7">
        <v>1018350</v>
      </c>
    </row>
    <row r="47" spans="1:9" x14ac:dyDescent="0.2">
      <c r="A47" s="6" t="s">
        <v>97</v>
      </c>
      <c r="B47" s="6" t="s">
        <v>17</v>
      </c>
      <c r="C47" s="6" t="s">
        <v>18</v>
      </c>
      <c r="D47" s="6" t="s">
        <v>30</v>
      </c>
      <c r="E47" s="6"/>
      <c r="F47" s="6" t="s">
        <v>100</v>
      </c>
      <c r="G47" s="6" t="s">
        <v>34</v>
      </c>
      <c r="H47" s="6">
        <v>2024</v>
      </c>
      <c r="I47" s="7">
        <v>2649850</v>
      </c>
    </row>
    <row r="48" spans="1:9" x14ac:dyDescent="0.2">
      <c r="A48" s="6" t="s">
        <v>97</v>
      </c>
      <c r="B48" s="6" t="s">
        <v>17</v>
      </c>
      <c r="C48" s="6" t="s">
        <v>18</v>
      </c>
      <c r="D48" s="6" t="s">
        <v>30</v>
      </c>
      <c r="E48" s="6"/>
      <c r="F48" s="6" t="s">
        <v>100</v>
      </c>
      <c r="G48" s="6" t="s">
        <v>35</v>
      </c>
      <c r="H48" s="6">
        <v>2024</v>
      </c>
      <c r="I48" s="7">
        <v>1534110</v>
      </c>
    </row>
    <row r="49" spans="1:9" x14ac:dyDescent="0.2">
      <c r="A49" s="6" t="s">
        <v>97</v>
      </c>
      <c r="B49" s="6" t="s">
        <v>17</v>
      </c>
      <c r="C49" s="6" t="s">
        <v>18</v>
      </c>
      <c r="D49" s="6" t="s">
        <v>30</v>
      </c>
      <c r="E49" s="6"/>
      <c r="F49" s="6" t="s">
        <v>100</v>
      </c>
      <c r="G49" s="6" t="s">
        <v>31</v>
      </c>
      <c r="H49" s="6">
        <v>2023</v>
      </c>
      <c r="I49" s="7">
        <v>436170</v>
      </c>
    </row>
    <row r="50" spans="1:9" x14ac:dyDescent="0.2">
      <c r="A50" s="6" t="s">
        <v>97</v>
      </c>
      <c r="B50" s="6" t="s">
        <v>17</v>
      </c>
      <c r="C50" s="6" t="s">
        <v>18</v>
      </c>
      <c r="D50" s="6" t="s">
        <v>30</v>
      </c>
      <c r="E50" s="6"/>
      <c r="F50" s="6" t="s">
        <v>100</v>
      </c>
      <c r="G50" s="6" t="s">
        <v>32</v>
      </c>
      <c r="H50" s="6">
        <v>2023</v>
      </c>
      <c r="I50" s="7">
        <v>7950</v>
      </c>
    </row>
    <row r="51" spans="1:9" x14ac:dyDescent="0.2">
      <c r="A51" s="6" t="s">
        <v>97</v>
      </c>
      <c r="B51" s="6" t="s">
        <v>17</v>
      </c>
      <c r="C51" s="6" t="s">
        <v>18</v>
      </c>
      <c r="D51" s="6" t="s">
        <v>30</v>
      </c>
      <c r="E51" s="6"/>
      <c r="F51" s="6" t="s">
        <v>100</v>
      </c>
      <c r="G51" s="6" t="s">
        <v>36</v>
      </c>
      <c r="H51" s="6">
        <v>2023</v>
      </c>
      <c r="I51" s="7">
        <v>34270</v>
      </c>
    </row>
    <row r="52" spans="1:9" x14ac:dyDescent="0.2">
      <c r="A52" s="6" t="s">
        <v>97</v>
      </c>
      <c r="B52" s="6" t="s">
        <v>17</v>
      </c>
      <c r="C52" s="6" t="s">
        <v>18</v>
      </c>
      <c r="D52" s="6" t="s">
        <v>30</v>
      </c>
      <c r="E52" s="6"/>
      <c r="F52" s="6" t="s">
        <v>100</v>
      </c>
      <c r="G52" s="6" t="s">
        <v>33</v>
      </c>
      <c r="H52" s="6">
        <v>2023</v>
      </c>
      <c r="I52" s="7">
        <v>375670</v>
      </c>
    </row>
    <row r="53" spans="1:9" x14ac:dyDescent="0.2">
      <c r="A53" s="6" t="s">
        <v>97</v>
      </c>
      <c r="B53" s="6" t="s">
        <v>17</v>
      </c>
      <c r="C53" s="6" t="s">
        <v>18</v>
      </c>
      <c r="D53" s="6" t="s">
        <v>30</v>
      </c>
      <c r="E53" s="6"/>
      <c r="F53" s="6" t="s">
        <v>100</v>
      </c>
      <c r="G53" s="6" t="s">
        <v>34</v>
      </c>
      <c r="H53" s="6">
        <v>2023</v>
      </c>
      <c r="I53" s="7">
        <v>2087000</v>
      </c>
    </row>
    <row r="54" spans="1:9" x14ac:dyDescent="0.2">
      <c r="A54" s="6" t="s">
        <v>97</v>
      </c>
      <c r="B54" s="6" t="s">
        <v>17</v>
      </c>
      <c r="C54" s="6" t="s">
        <v>18</v>
      </c>
      <c r="D54" s="6" t="s">
        <v>30</v>
      </c>
      <c r="E54" s="6"/>
      <c r="F54" s="6" t="s">
        <v>100</v>
      </c>
      <c r="G54" s="6" t="s">
        <v>35</v>
      </c>
      <c r="H54" s="6">
        <v>2023</v>
      </c>
      <c r="I54" s="7">
        <v>720960</v>
      </c>
    </row>
    <row r="55" spans="1:9" x14ac:dyDescent="0.2">
      <c r="A55" s="6" t="s">
        <v>97</v>
      </c>
      <c r="B55" s="6" t="s">
        <v>17</v>
      </c>
      <c r="C55" s="6" t="s">
        <v>18</v>
      </c>
      <c r="D55" s="6" t="s">
        <v>30</v>
      </c>
      <c r="E55" s="6"/>
      <c r="F55" s="6" t="s">
        <v>100</v>
      </c>
      <c r="G55" s="6" t="s">
        <v>31</v>
      </c>
      <c r="H55" s="6">
        <v>2022</v>
      </c>
      <c r="I55" s="7">
        <v>1243120</v>
      </c>
    </row>
    <row r="56" spans="1:9" x14ac:dyDescent="0.2">
      <c r="A56" s="6" t="s">
        <v>97</v>
      </c>
      <c r="B56" s="6" t="s">
        <v>17</v>
      </c>
      <c r="C56" s="6" t="s">
        <v>18</v>
      </c>
      <c r="D56" s="6" t="s">
        <v>30</v>
      </c>
      <c r="E56" s="6"/>
      <c r="F56" s="6" t="s">
        <v>100</v>
      </c>
      <c r="G56" s="6" t="s">
        <v>32</v>
      </c>
      <c r="H56" s="6">
        <v>2022</v>
      </c>
      <c r="I56" s="7">
        <v>91800</v>
      </c>
    </row>
    <row r="57" spans="1:9" x14ac:dyDescent="0.2">
      <c r="A57" s="6" t="s">
        <v>97</v>
      </c>
      <c r="B57" s="6" t="s">
        <v>17</v>
      </c>
      <c r="C57" s="6" t="s">
        <v>18</v>
      </c>
      <c r="D57" s="6" t="s">
        <v>30</v>
      </c>
      <c r="E57" s="6"/>
      <c r="F57" s="6" t="s">
        <v>100</v>
      </c>
      <c r="G57" s="6" t="s">
        <v>36</v>
      </c>
      <c r="H57" s="6">
        <v>2022</v>
      </c>
      <c r="I57" s="7">
        <v>148000</v>
      </c>
    </row>
    <row r="58" spans="1:9" x14ac:dyDescent="0.2">
      <c r="A58" s="6" t="s">
        <v>97</v>
      </c>
      <c r="B58" s="6" t="s">
        <v>17</v>
      </c>
      <c r="C58" s="6" t="s">
        <v>18</v>
      </c>
      <c r="D58" s="6" t="s">
        <v>30</v>
      </c>
      <c r="E58" s="6"/>
      <c r="F58" s="6" t="s">
        <v>100</v>
      </c>
      <c r="G58" s="6" t="s">
        <v>33</v>
      </c>
      <c r="H58" s="6">
        <v>2022</v>
      </c>
      <c r="I58" s="7">
        <v>625810</v>
      </c>
    </row>
    <row r="59" spans="1:9" x14ac:dyDescent="0.2">
      <c r="A59" s="6" t="s">
        <v>97</v>
      </c>
      <c r="B59" s="6" t="s">
        <v>17</v>
      </c>
      <c r="C59" s="6" t="s">
        <v>18</v>
      </c>
      <c r="D59" s="6" t="s">
        <v>30</v>
      </c>
      <c r="E59" s="6"/>
      <c r="F59" s="6" t="s">
        <v>100</v>
      </c>
      <c r="G59" s="6" t="s">
        <v>34</v>
      </c>
      <c r="H59" s="6">
        <v>2022</v>
      </c>
      <c r="I59" s="7">
        <v>1774430</v>
      </c>
    </row>
    <row r="60" spans="1:9" x14ac:dyDescent="0.2">
      <c r="A60" s="6" t="s">
        <v>97</v>
      </c>
      <c r="B60" s="6" t="s">
        <v>17</v>
      </c>
      <c r="C60" s="6" t="s">
        <v>18</v>
      </c>
      <c r="D60" s="6" t="s">
        <v>30</v>
      </c>
      <c r="E60" s="6"/>
      <c r="F60" s="6" t="s">
        <v>100</v>
      </c>
      <c r="G60" s="6" t="s">
        <v>35</v>
      </c>
      <c r="H60" s="6">
        <v>2022</v>
      </c>
      <c r="I60" s="7">
        <v>749270</v>
      </c>
    </row>
    <row r="61" spans="1:9" x14ac:dyDescent="0.2">
      <c r="A61" s="6" t="s">
        <v>97</v>
      </c>
      <c r="B61" s="6" t="s">
        <v>17</v>
      </c>
      <c r="C61" s="6" t="s">
        <v>18</v>
      </c>
      <c r="D61" s="6" t="s">
        <v>30</v>
      </c>
      <c r="E61" s="6"/>
      <c r="F61" s="6" t="s">
        <v>101</v>
      </c>
      <c r="G61" s="6" t="s">
        <v>37</v>
      </c>
      <c r="H61" s="6">
        <v>2024</v>
      </c>
      <c r="I61" s="7">
        <v>1294850</v>
      </c>
    </row>
    <row r="62" spans="1:9" x14ac:dyDescent="0.2">
      <c r="A62" s="6" t="s">
        <v>97</v>
      </c>
      <c r="B62" s="6" t="s">
        <v>17</v>
      </c>
      <c r="C62" s="6" t="s">
        <v>18</v>
      </c>
      <c r="D62" s="6" t="s">
        <v>30</v>
      </c>
      <c r="E62" s="6"/>
      <c r="F62" s="6" t="s">
        <v>101</v>
      </c>
      <c r="G62" s="6" t="s">
        <v>37</v>
      </c>
      <c r="H62" s="6">
        <v>2023</v>
      </c>
      <c r="I62" s="7">
        <v>1207150</v>
      </c>
    </row>
    <row r="63" spans="1:9" x14ac:dyDescent="0.2">
      <c r="A63" s="6" t="s">
        <v>97</v>
      </c>
      <c r="B63" s="6" t="s">
        <v>17</v>
      </c>
      <c r="C63" s="6" t="s">
        <v>18</v>
      </c>
      <c r="D63" s="6" t="s">
        <v>30</v>
      </c>
      <c r="E63" s="6"/>
      <c r="F63" s="6" t="s">
        <v>101</v>
      </c>
      <c r="G63" s="6" t="s">
        <v>37</v>
      </c>
      <c r="H63" s="6">
        <v>2022</v>
      </c>
      <c r="I63" s="7">
        <v>8550</v>
      </c>
    </row>
    <row r="64" spans="1:9" x14ac:dyDescent="0.2">
      <c r="A64" s="6" t="s">
        <v>97</v>
      </c>
      <c r="B64" s="6" t="s">
        <v>17</v>
      </c>
      <c r="C64" s="6" t="s">
        <v>18</v>
      </c>
      <c r="D64" s="6" t="s">
        <v>30</v>
      </c>
      <c r="E64" s="6"/>
      <c r="F64" s="6" t="s">
        <v>103</v>
      </c>
      <c r="G64" s="6" t="s">
        <v>38</v>
      </c>
      <c r="H64" s="6">
        <v>2024</v>
      </c>
      <c r="I64" s="7">
        <v>381890</v>
      </c>
    </row>
    <row r="65" spans="1:9" x14ac:dyDescent="0.2">
      <c r="A65" s="6" t="s">
        <v>97</v>
      </c>
      <c r="B65" s="6" t="s">
        <v>17</v>
      </c>
      <c r="C65" s="6" t="s">
        <v>18</v>
      </c>
      <c r="D65" s="6" t="s">
        <v>30</v>
      </c>
      <c r="E65" s="6"/>
      <c r="F65" s="6" t="s">
        <v>103</v>
      </c>
      <c r="G65" s="6" t="s">
        <v>39</v>
      </c>
      <c r="H65" s="6">
        <v>2024</v>
      </c>
      <c r="I65" s="7">
        <v>738460</v>
      </c>
    </row>
    <row r="66" spans="1:9" x14ac:dyDescent="0.2">
      <c r="A66" s="6" t="s">
        <v>97</v>
      </c>
      <c r="B66" s="6" t="s">
        <v>17</v>
      </c>
      <c r="C66" s="6" t="s">
        <v>18</v>
      </c>
      <c r="D66" s="6" t="s">
        <v>30</v>
      </c>
      <c r="E66" s="6"/>
      <c r="F66" s="6" t="s">
        <v>103</v>
      </c>
      <c r="G66" s="6" t="s">
        <v>40</v>
      </c>
      <c r="H66" s="6">
        <v>2024</v>
      </c>
      <c r="I66" s="7">
        <v>537890</v>
      </c>
    </row>
    <row r="67" spans="1:9" x14ac:dyDescent="0.2">
      <c r="A67" s="6" t="s">
        <v>97</v>
      </c>
      <c r="B67" s="6" t="s">
        <v>17</v>
      </c>
      <c r="C67" s="6" t="s">
        <v>18</v>
      </c>
      <c r="D67" s="6" t="s">
        <v>30</v>
      </c>
      <c r="E67" s="6"/>
      <c r="F67" s="6" t="s">
        <v>103</v>
      </c>
      <c r="G67" s="6" t="s">
        <v>41</v>
      </c>
      <c r="H67" s="6">
        <v>2024</v>
      </c>
      <c r="I67" s="7">
        <v>178670</v>
      </c>
    </row>
    <row r="68" spans="1:9" x14ac:dyDescent="0.2">
      <c r="A68" s="6" t="s">
        <v>97</v>
      </c>
      <c r="B68" s="6" t="s">
        <v>17</v>
      </c>
      <c r="C68" s="6" t="s">
        <v>18</v>
      </c>
      <c r="D68" s="6" t="s">
        <v>30</v>
      </c>
      <c r="E68" s="6"/>
      <c r="F68" s="6" t="s">
        <v>103</v>
      </c>
      <c r="G68" s="6" t="s">
        <v>42</v>
      </c>
      <c r="H68" s="6">
        <v>2024</v>
      </c>
      <c r="I68" s="7">
        <v>5857780</v>
      </c>
    </row>
    <row r="69" spans="1:9" x14ac:dyDescent="0.2">
      <c r="A69" s="6" t="s">
        <v>97</v>
      </c>
      <c r="B69" s="6" t="s">
        <v>17</v>
      </c>
      <c r="C69" s="6" t="s">
        <v>18</v>
      </c>
      <c r="D69" s="6" t="s">
        <v>30</v>
      </c>
      <c r="E69" s="6"/>
      <c r="F69" s="6" t="s">
        <v>103</v>
      </c>
      <c r="G69" s="6" t="s">
        <v>43</v>
      </c>
      <c r="H69" s="6">
        <v>2024</v>
      </c>
      <c r="I69" s="7">
        <v>67150</v>
      </c>
    </row>
    <row r="70" spans="1:9" x14ac:dyDescent="0.2">
      <c r="A70" s="6" t="s">
        <v>97</v>
      </c>
      <c r="B70" s="6" t="s">
        <v>17</v>
      </c>
      <c r="C70" s="6" t="s">
        <v>18</v>
      </c>
      <c r="D70" s="6" t="s">
        <v>30</v>
      </c>
      <c r="E70" s="6"/>
      <c r="F70" s="6" t="s">
        <v>103</v>
      </c>
      <c r="G70" s="6" t="s">
        <v>38</v>
      </c>
      <c r="H70" s="6">
        <v>2023</v>
      </c>
      <c r="I70" s="7">
        <v>434030</v>
      </c>
    </row>
    <row r="71" spans="1:9" x14ac:dyDescent="0.2">
      <c r="A71" s="6" t="s">
        <v>97</v>
      </c>
      <c r="B71" s="6" t="s">
        <v>17</v>
      </c>
      <c r="C71" s="6" t="s">
        <v>18</v>
      </c>
      <c r="D71" s="6" t="s">
        <v>30</v>
      </c>
      <c r="E71" s="6"/>
      <c r="F71" s="6" t="s">
        <v>103</v>
      </c>
      <c r="G71" s="6" t="s">
        <v>39</v>
      </c>
      <c r="H71" s="6">
        <v>2023</v>
      </c>
      <c r="I71" s="7">
        <v>1022730</v>
      </c>
    </row>
    <row r="72" spans="1:9" x14ac:dyDescent="0.2">
      <c r="A72" s="6" t="s">
        <v>97</v>
      </c>
      <c r="B72" s="6" t="s">
        <v>17</v>
      </c>
      <c r="C72" s="6" t="s">
        <v>18</v>
      </c>
      <c r="D72" s="6" t="s">
        <v>30</v>
      </c>
      <c r="E72" s="6"/>
      <c r="F72" s="6" t="s">
        <v>103</v>
      </c>
      <c r="G72" s="6" t="s">
        <v>40</v>
      </c>
      <c r="H72" s="6">
        <v>2023</v>
      </c>
      <c r="I72" s="7">
        <v>526140</v>
      </c>
    </row>
    <row r="73" spans="1:9" x14ac:dyDescent="0.2">
      <c r="A73" s="6" t="s">
        <v>97</v>
      </c>
      <c r="B73" s="6" t="s">
        <v>17</v>
      </c>
      <c r="C73" s="6" t="s">
        <v>18</v>
      </c>
      <c r="D73" s="6" t="s">
        <v>30</v>
      </c>
      <c r="E73" s="6"/>
      <c r="F73" s="6" t="s">
        <v>103</v>
      </c>
      <c r="G73" s="6" t="s">
        <v>41</v>
      </c>
      <c r="H73" s="6">
        <v>2023</v>
      </c>
      <c r="I73" s="7">
        <v>435520</v>
      </c>
    </row>
    <row r="74" spans="1:9" x14ac:dyDescent="0.2">
      <c r="A74" s="6" t="s">
        <v>97</v>
      </c>
      <c r="B74" s="6" t="s">
        <v>17</v>
      </c>
      <c r="C74" s="6" t="s">
        <v>18</v>
      </c>
      <c r="D74" s="6" t="s">
        <v>30</v>
      </c>
      <c r="E74" s="6"/>
      <c r="F74" s="6" t="s">
        <v>103</v>
      </c>
      <c r="G74" s="6" t="s">
        <v>42</v>
      </c>
      <c r="H74" s="6">
        <v>2023</v>
      </c>
      <c r="I74" s="7">
        <v>7143870</v>
      </c>
    </row>
    <row r="75" spans="1:9" x14ac:dyDescent="0.2">
      <c r="A75" s="6" t="s">
        <v>97</v>
      </c>
      <c r="B75" s="6" t="s">
        <v>17</v>
      </c>
      <c r="C75" s="6" t="s">
        <v>18</v>
      </c>
      <c r="D75" s="6" t="s">
        <v>30</v>
      </c>
      <c r="E75" s="6"/>
      <c r="F75" s="6" t="s">
        <v>103</v>
      </c>
      <c r="G75" s="6" t="s">
        <v>43</v>
      </c>
      <c r="H75" s="6">
        <v>2023</v>
      </c>
      <c r="I75" s="7">
        <v>117290</v>
      </c>
    </row>
    <row r="76" spans="1:9" x14ac:dyDescent="0.2">
      <c r="A76" s="6" t="s">
        <v>97</v>
      </c>
      <c r="B76" s="6" t="s">
        <v>17</v>
      </c>
      <c r="C76" s="6" t="s">
        <v>18</v>
      </c>
      <c r="D76" s="6" t="s">
        <v>30</v>
      </c>
      <c r="E76" s="6"/>
      <c r="F76" s="6" t="s">
        <v>103</v>
      </c>
      <c r="G76" s="6" t="s">
        <v>38</v>
      </c>
      <c r="H76" s="6">
        <v>2022</v>
      </c>
      <c r="I76" s="7">
        <v>355450</v>
      </c>
    </row>
    <row r="77" spans="1:9" x14ac:dyDescent="0.2">
      <c r="A77" s="6" t="s">
        <v>97</v>
      </c>
      <c r="B77" s="6" t="s">
        <v>17</v>
      </c>
      <c r="C77" s="6" t="s">
        <v>18</v>
      </c>
      <c r="D77" s="6" t="s">
        <v>30</v>
      </c>
      <c r="E77" s="6"/>
      <c r="F77" s="6" t="s">
        <v>103</v>
      </c>
      <c r="G77" s="6" t="s">
        <v>39</v>
      </c>
      <c r="H77" s="6">
        <v>2022</v>
      </c>
      <c r="I77" s="7">
        <v>1189790</v>
      </c>
    </row>
    <row r="78" spans="1:9" x14ac:dyDescent="0.2">
      <c r="A78" s="6" t="s">
        <v>97</v>
      </c>
      <c r="B78" s="6" t="s">
        <v>17</v>
      </c>
      <c r="C78" s="6" t="s">
        <v>18</v>
      </c>
      <c r="D78" s="6" t="s">
        <v>30</v>
      </c>
      <c r="E78" s="6"/>
      <c r="F78" s="6" t="s">
        <v>103</v>
      </c>
      <c r="G78" s="6" t="s">
        <v>40</v>
      </c>
      <c r="H78" s="6">
        <v>2022</v>
      </c>
      <c r="I78" s="7">
        <v>59250</v>
      </c>
    </row>
    <row r="79" spans="1:9" x14ac:dyDescent="0.2">
      <c r="A79" s="6" t="s">
        <v>97</v>
      </c>
      <c r="B79" s="6" t="s">
        <v>17</v>
      </c>
      <c r="C79" s="6" t="s">
        <v>18</v>
      </c>
      <c r="D79" s="6" t="s">
        <v>30</v>
      </c>
      <c r="E79" s="6"/>
      <c r="F79" s="6" t="s">
        <v>103</v>
      </c>
      <c r="G79" s="6" t="s">
        <v>41</v>
      </c>
      <c r="H79" s="6">
        <v>2022</v>
      </c>
      <c r="I79" s="7">
        <v>590750</v>
      </c>
    </row>
    <row r="80" spans="1:9" x14ac:dyDescent="0.2">
      <c r="A80" s="6" t="s">
        <v>97</v>
      </c>
      <c r="B80" s="6" t="s">
        <v>17</v>
      </c>
      <c r="C80" s="6" t="s">
        <v>18</v>
      </c>
      <c r="D80" s="6" t="s">
        <v>30</v>
      </c>
      <c r="E80" s="6"/>
      <c r="F80" s="6" t="s">
        <v>103</v>
      </c>
      <c r="G80" s="6" t="s">
        <v>42</v>
      </c>
      <c r="H80" s="6">
        <v>2022</v>
      </c>
      <c r="I80" s="7">
        <v>10004540</v>
      </c>
    </row>
    <row r="81" spans="1:9" x14ac:dyDescent="0.2">
      <c r="A81" s="6" t="s">
        <v>97</v>
      </c>
      <c r="B81" s="6" t="s">
        <v>17</v>
      </c>
      <c r="C81" s="6" t="s">
        <v>18</v>
      </c>
      <c r="D81" s="6" t="s">
        <v>30</v>
      </c>
      <c r="E81" s="6"/>
      <c r="F81" s="6" t="s">
        <v>103</v>
      </c>
      <c r="G81" s="6" t="s">
        <v>43</v>
      </c>
      <c r="H81" s="6">
        <v>2022</v>
      </c>
      <c r="I81" s="7">
        <v>125020</v>
      </c>
    </row>
    <row r="82" spans="1:9" x14ac:dyDescent="0.2">
      <c r="A82" s="6" t="s">
        <v>97</v>
      </c>
      <c r="B82" s="6" t="s">
        <v>17</v>
      </c>
      <c r="C82" s="6" t="s">
        <v>18</v>
      </c>
      <c r="D82" s="6" t="s">
        <v>30</v>
      </c>
      <c r="E82" s="6"/>
      <c r="F82" s="6" t="s">
        <v>102</v>
      </c>
      <c r="G82" s="6" t="s">
        <v>44</v>
      </c>
      <c r="H82" s="6">
        <v>2024</v>
      </c>
      <c r="I82" s="7">
        <v>13239870</v>
      </c>
    </row>
    <row r="83" spans="1:9" x14ac:dyDescent="0.2">
      <c r="A83" s="6" t="s">
        <v>97</v>
      </c>
      <c r="B83" s="6" t="s">
        <v>17</v>
      </c>
      <c r="C83" s="6" t="s">
        <v>18</v>
      </c>
      <c r="D83" s="6" t="s">
        <v>30</v>
      </c>
      <c r="E83" s="6"/>
      <c r="F83" s="6" t="s">
        <v>102</v>
      </c>
      <c r="G83" s="6" t="s">
        <v>44</v>
      </c>
      <c r="H83" s="6">
        <v>2023</v>
      </c>
      <c r="I83" s="7">
        <v>23162650</v>
      </c>
    </row>
    <row r="84" spans="1:9" x14ac:dyDescent="0.2">
      <c r="A84" s="6" t="s">
        <v>97</v>
      </c>
      <c r="B84" s="6" t="s">
        <v>17</v>
      </c>
      <c r="C84" s="6" t="s">
        <v>18</v>
      </c>
      <c r="D84" s="6" t="s">
        <v>30</v>
      </c>
      <c r="E84" s="6"/>
      <c r="F84" s="6" t="s">
        <v>102</v>
      </c>
      <c r="G84" s="6" t="s">
        <v>44</v>
      </c>
      <c r="H84" s="6">
        <v>2022</v>
      </c>
      <c r="I84" s="7">
        <v>22554970</v>
      </c>
    </row>
    <row r="85" spans="1:9" x14ac:dyDescent="0.2">
      <c r="A85" s="6" t="s">
        <v>97</v>
      </c>
      <c r="B85" s="6" t="s">
        <v>45</v>
      </c>
      <c r="C85" s="6" t="s">
        <v>18</v>
      </c>
      <c r="D85" s="6"/>
      <c r="E85" s="6" t="s">
        <v>46</v>
      </c>
      <c r="F85" s="6" t="s">
        <v>101</v>
      </c>
      <c r="G85" s="6" t="s">
        <v>47</v>
      </c>
      <c r="H85" s="6">
        <v>2024</v>
      </c>
      <c r="I85" s="7">
        <v>6932970</v>
      </c>
    </row>
    <row r="86" spans="1:9" x14ac:dyDescent="0.2">
      <c r="A86" s="6" t="s">
        <v>97</v>
      </c>
      <c r="B86" s="6" t="s">
        <v>45</v>
      </c>
      <c r="C86" s="6" t="s">
        <v>18</v>
      </c>
      <c r="D86" s="6"/>
      <c r="E86" s="6" t="s">
        <v>46</v>
      </c>
      <c r="F86" s="6" t="s">
        <v>101</v>
      </c>
      <c r="G86" s="6" t="s">
        <v>48</v>
      </c>
      <c r="H86" s="6">
        <v>2024</v>
      </c>
      <c r="I86" s="7">
        <v>464940</v>
      </c>
    </row>
    <row r="87" spans="1:9" x14ac:dyDescent="0.2">
      <c r="A87" s="6" t="s">
        <v>97</v>
      </c>
      <c r="B87" s="6" t="s">
        <v>45</v>
      </c>
      <c r="C87" s="6" t="s">
        <v>18</v>
      </c>
      <c r="D87" s="6"/>
      <c r="E87" s="6" t="s">
        <v>46</v>
      </c>
      <c r="F87" s="6" t="s">
        <v>101</v>
      </c>
      <c r="G87" s="6" t="s">
        <v>47</v>
      </c>
      <c r="H87" s="6">
        <v>2023</v>
      </c>
      <c r="I87" s="7">
        <v>5616740</v>
      </c>
    </row>
    <row r="88" spans="1:9" x14ac:dyDescent="0.2">
      <c r="A88" s="6" t="s">
        <v>97</v>
      </c>
      <c r="B88" s="6" t="s">
        <v>45</v>
      </c>
      <c r="C88" s="6" t="s">
        <v>18</v>
      </c>
      <c r="D88" s="6"/>
      <c r="E88" s="6" t="s">
        <v>46</v>
      </c>
      <c r="F88" s="6" t="s">
        <v>101</v>
      </c>
      <c r="G88" s="6" t="s">
        <v>48</v>
      </c>
      <c r="H88" s="6">
        <v>2023</v>
      </c>
      <c r="I88" s="7">
        <v>1022390</v>
      </c>
    </row>
    <row r="89" spans="1:9" x14ac:dyDescent="0.2">
      <c r="A89" s="6" t="s">
        <v>97</v>
      </c>
      <c r="B89" s="6" t="s">
        <v>45</v>
      </c>
      <c r="C89" s="6" t="s">
        <v>18</v>
      </c>
      <c r="D89" s="6"/>
      <c r="E89" s="6" t="s">
        <v>46</v>
      </c>
      <c r="F89" s="6" t="s">
        <v>101</v>
      </c>
      <c r="G89" s="6" t="s">
        <v>47</v>
      </c>
      <c r="H89" s="6">
        <v>2022</v>
      </c>
      <c r="I89" s="7">
        <v>31890</v>
      </c>
    </row>
    <row r="90" spans="1:9" x14ac:dyDescent="0.2">
      <c r="A90" s="6" t="s">
        <v>97</v>
      </c>
      <c r="B90" s="6" t="s">
        <v>45</v>
      </c>
      <c r="C90" s="6" t="s">
        <v>18</v>
      </c>
      <c r="D90" s="6"/>
      <c r="E90" s="6" t="s">
        <v>46</v>
      </c>
      <c r="F90" s="6" t="s">
        <v>101</v>
      </c>
      <c r="G90" s="6" t="s">
        <v>48</v>
      </c>
      <c r="H90" s="6">
        <v>2022</v>
      </c>
      <c r="I90" s="7">
        <v>90170</v>
      </c>
    </row>
    <row r="91" spans="1:9" x14ac:dyDescent="0.2">
      <c r="A91" s="6" t="s">
        <v>97</v>
      </c>
      <c r="B91" s="6" t="s">
        <v>45</v>
      </c>
      <c r="C91" s="6" t="s">
        <v>18</v>
      </c>
      <c r="D91" s="6"/>
      <c r="E91" s="6" t="s">
        <v>46</v>
      </c>
      <c r="F91" s="6" t="s">
        <v>102</v>
      </c>
      <c r="G91" s="6" t="s">
        <v>49</v>
      </c>
      <c r="H91" s="6">
        <v>2024</v>
      </c>
      <c r="I91" s="7">
        <v>2827190</v>
      </c>
    </row>
    <row r="92" spans="1:9" x14ac:dyDescent="0.2">
      <c r="A92" s="6" t="s">
        <v>97</v>
      </c>
      <c r="B92" s="6" t="s">
        <v>45</v>
      </c>
      <c r="C92" s="6" t="s">
        <v>18</v>
      </c>
      <c r="D92" s="6"/>
      <c r="E92" s="6" t="s">
        <v>46</v>
      </c>
      <c r="F92" s="6" t="s">
        <v>102</v>
      </c>
      <c r="G92" s="6" t="s">
        <v>50</v>
      </c>
      <c r="H92" s="6">
        <v>2024</v>
      </c>
      <c r="I92" s="7">
        <v>926850</v>
      </c>
    </row>
    <row r="93" spans="1:9" x14ac:dyDescent="0.2">
      <c r="A93" s="6" t="s">
        <v>97</v>
      </c>
      <c r="B93" s="6" t="s">
        <v>45</v>
      </c>
      <c r="C93" s="6" t="s">
        <v>18</v>
      </c>
      <c r="D93" s="6"/>
      <c r="E93" s="6" t="s">
        <v>46</v>
      </c>
      <c r="F93" s="6" t="s">
        <v>102</v>
      </c>
      <c r="G93" s="6" t="s">
        <v>51</v>
      </c>
      <c r="H93" s="6">
        <v>2024</v>
      </c>
      <c r="I93" s="7">
        <v>473000</v>
      </c>
    </row>
    <row r="94" spans="1:9" x14ac:dyDescent="0.2">
      <c r="A94" s="6" t="s">
        <v>97</v>
      </c>
      <c r="B94" s="6" t="s">
        <v>45</v>
      </c>
      <c r="C94" s="6" t="s">
        <v>18</v>
      </c>
      <c r="D94" s="6"/>
      <c r="E94" s="6" t="s">
        <v>46</v>
      </c>
      <c r="F94" s="6" t="s">
        <v>102</v>
      </c>
      <c r="G94" s="6" t="s">
        <v>52</v>
      </c>
      <c r="H94" s="6">
        <v>2024</v>
      </c>
      <c r="I94" s="7">
        <v>66606150</v>
      </c>
    </row>
    <row r="95" spans="1:9" x14ac:dyDescent="0.2">
      <c r="A95" s="6" t="s">
        <v>97</v>
      </c>
      <c r="B95" s="6" t="s">
        <v>45</v>
      </c>
      <c r="C95" s="6" t="s">
        <v>18</v>
      </c>
      <c r="D95" s="6"/>
      <c r="E95" s="6" t="s">
        <v>46</v>
      </c>
      <c r="F95" s="6" t="s">
        <v>102</v>
      </c>
      <c r="G95" s="6" t="s">
        <v>53</v>
      </c>
      <c r="H95" s="6">
        <v>2024</v>
      </c>
      <c r="I95" s="7">
        <v>10448680</v>
      </c>
    </row>
    <row r="96" spans="1:9" x14ac:dyDescent="0.2">
      <c r="A96" s="6" t="s">
        <v>97</v>
      </c>
      <c r="B96" s="6" t="s">
        <v>45</v>
      </c>
      <c r="C96" s="6" t="s">
        <v>18</v>
      </c>
      <c r="D96" s="6"/>
      <c r="E96" s="6" t="s">
        <v>46</v>
      </c>
      <c r="F96" s="6" t="s">
        <v>102</v>
      </c>
      <c r="G96" s="6" t="s">
        <v>49</v>
      </c>
      <c r="H96" s="6">
        <v>2023</v>
      </c>
      <c r="I96" s="7">
        <v>2777550</v>
      </c>
    </row>
    <row r="97" spans="1:9" x14ac:dyDescent="0.2">
      <c r="A97" s="6" t="s">
        <v>97</v>
      </c>
      <c r="B97" s="6" t="s">
        <v>45</v>
      </c>
      <c r="C97" s="6" t="s">
        <v>18</v>
      </c>
      <c r="D97" s="6"/>
      <c r="E97" s="6" t="s">
        <v>46</v>
      </c>
      <c r="F97" s="6" t="s">
        <v>102</v>
      </c>
      <c r="G97" s="6" t="s">
        <v>50</v>
      </c>
      <c r="H97" s="6">
        <v>2023</v>
      </c>
      <c r="I97" s="7">
        <v>942340</v>
      </c>
    </row>
    <row r="98" spans="1:9" x14ac:dyDescent="0.2">
      <c r="A98" s="6" t="s">
        <v>97</v>
      </c>
      <c r="B98" s="6" t="s">
        <v>45</v>
      </c>
      <c r="C98" s="6" t="s">
        <v>18</v>
      </c>
      <c r="D98" s="6"/>
      <c r="E98" s="6" t="s">
        <v>46</v>
      </c>
      <c r="F98" s="6" t="s">
        <v>102</v>
      </c>
      <c r="G98" s="6" t="s">
        <v>51</v>
      </c>
      <c r="H98" s="6">
        <v>2023</v>
      </c>
      <c r="I98" s="7">
        <v>929310</v>
      </c>
    </row>
    <row r="99" spans="1:9" x14ac:dyDescent="0.2">
      <c r="A99" s="6" t="s">
        <v>97</v>
      </c>
      <c r="B99" s="6" t="s">
        <v>45</v>
      </c>
      <c r="C99" s="6" t="s">
        <v>18</v>
      </c>
      <c r="D99" s="6"/>
      <c r="E99" s="6" t="s">
        <v>46</v>
      </c>
      <c r="F99" s="6" t="s">
        <v>102</v>
      </c>
      <c r="G99" s="6" t="s">
        <v>52</v>
      </c>
      <c r="H99" s="6">
        <v>2023</v>
      </c>
      <c r="I99" s="7">
        <v>108465210</v>
      </c>
    </row>
    <row r="100" spans="1:9" x14ac:dyDescent="0.2">
      <c r="A100" s="6" t="s">
        <v>97</v>
      </c>
      <c r="B100" s="6" t="s">
        <v>45</v>
      </c>
      <c r="C100" s="6" t="s">
        <v>18</v>
      </c>
      <c r="D100" s="6"/>
      <c r="E100" s="6" t="s">
        <v>46</v>
      </c>
      <c r="F100" s="6" t="s">
        <v>102</v>
      </c>
      <c r="G100" s="6" t="s">
        <v>53</v>
      </c>
      <c r="H100" s="6">
        <v>2023</v>
      </c>
      <c r="I100" s="7">
        <v>20441760</v>
      </c>
    </row>
    <row r="101" spans="1:9" x14ac:dyDescent="0.2">
      <c r="A101" s="6" t="s">
        <v>97</v>
      </c>
      <c r="B101" s="6" t="s">
        <v>45</v>
      </c>
      <c r="C101" s="6" t="s">
        <v>18</v>
      </c>
      <c r="D101" s="6"/>
      <c r="E101" s="6" t="s">
        <v>46</v>
      </c>
      <c r="F101" s="6" t="s">
        <v>102</v>
      </c>
      <c r="G101" s="6" t="s">
        <v>54</v>
      </c>
      <c r="H101" s="6">
        <v>2023</v>
      </c>
      <c r="I101" s="7">
        <v>19720</v>
      </c>
    </row>
    <row r="102" spans="1:9" x14ac:dyDescent="0.2">
      <c r="A102" s="6" t="s">
        <v>97</v>
      </c>
      <c r="B102" s="6" t="s">
        <v>45</v>
      </c>
      <c r="C102" s="6" t="s">
        <v>18</v>
      </c>
      <c r="D102" s="6"/>
      <c r="E102" s="6" t="s">
        <v>46</v>
      </c>
      <c r="F102" s="6" t="s">
        <v>102</v>
      </c>
      <c r="G102" s="6" t="s">
        <v>49</v>
      </c>
      <c r="H102" s="6">
        <v>2022</v>
      </c>
      <c r="I102" s="7">
        <v>723000</v>
      </c>
    </row>
    <row r="103" spans="1:9" x14ac:dyDescent="0.2">
      <c r="A103" s="6" t="s">
        <v>97</v>
      </c>
      <c r="B103" s="6" t="s">
        <v>45</v>
      </c>
      <c r="C103" s="6" t="s">
        <v>18</v>
      </c>
      <c r="D103" s="6"/>
      <c r="E103" s="6" t="s">
        <v>46</v>
      </c>
      <c r="F103" s="6" t="s">
        <v>102</v>
      </c>
      <c r="G103" s="6" t="s">
        <v>50</v>
      </c>
      <c r="H103" s="6">
        <v>2022</v>
      </c>
      <c r="I103" s="7">
        <v>975080</v>
      </c>
    </row>
    <row r="104" spans="1:9" x14ac:dyDescent="0.2">
      <c r="A104" s="6" t="s">
        <v>97</v>
      </c>
      <c r="B104" s="6" t="s">
        <v>45</v>
      </c>
      <c r="C104" s="6" t="s">
        <v>18</v>
      </c>
      <c r="D104" s="6"/>
      <c r="E104" s="6" t="s">
        <v>46</v>
      </c>
      <c r="F104" s="6" t="s">
        <v>102</v>
      </c>
      <c r="G104" s="6" t="s">
        <v>51</v>
      </c>
      <c r="H104" s="6">
        <v>2022</v>
      </c>
      <c r="I104" s="7">
        <v>2865920</v>
      </c>
    </row>
    <row r="105" spans="1:9" x14ac:dyDescent="0.2">
      <c r="A105" s="6" t="s">
        <v>97</v>
      </c>
      <c r="B105" s="6" t="s">
        <v>45</v>
      </c>
      <c r="C105" s="6" t="s">
        <v>18</v>
      </c>
      <c r="D105" s="6"/>
      <c r="E105" s="6" t="s">
        <v>46</v>
      </c>
      <c r="F105" s="6" t="s">
        <v>102</v>
      </c>
      <c r="G105" s="6" t="s">
        <v>52</v>
      </c>
      <c r="H105" s="6">
        <v>2022</v>
      </c>
      <c r="I105" s="7">
        <v>95370390</v>
      </c>
    </row>
    <row r="106" spans="1:9" x14ac:dyDescent="0.2">
      <c r="A106" s="6" t="s">
        <v>97</v>
      </c>
      <c r="B106" s="6" t="s">
        <v>45</v>
      </c>
      <c r="C106" s="6" t="s">
        <v>18</v>
      </c>
      <c r="D106" s="6"/>
      <c r="E106" s="6" t="s">
        <v>46</v>
      </c>
      <c r="F106" s="6" t="s">
        <v>102</v>
      </c>
      <c r="G106" s="6" t="s">
        <v>53</v>
      </c>
      <c r="H106" s="6">
        <v>2022</v>
      </c>
      <c r="I106" s="7">
        <v>27022320</v>
      </c>
    </row>
    <row r="107" spans="1:9" x14ac:dyDescent="0.2">
      <c r="A107" s="6" t="s">
        <v>97</v>
      </c>
      <c r="B107" s="6" t="s">
        <v>45</v>
      </c>
      <c r="C107" s="6" t="s">
        <v>18</v>
      </c>
      <c r="D107" s="6"/>
      <c r="E107" s="6" t="s">
        <v>55</v>
      </c>
      <c r="F107" s="6" t="s">
        <v>101</v>
      </c>
      <c r="G107" s="6" t="s">
        <v>56</v>
      </c>
      <c r="H107" s="6">
        <v>2024</v>
      </c>
      <c r="I107" s="7">
        <v>4924670</v>
      </c>
    </row>
    <row r="108" spans="1:9" x14ac:dyDescent="0.2">
      <c r="A108" s="6" t="s">
        <v>97</v>
      </c>
      <c r="B108" s="6" t="s">
        <v>45</v>
      </c>
      <c r="C108" s="6" t="s">
        <v>18</v>
      </c>
      <c r="D108" s="6"/>
      <c r="E108" s="6" t="s">
        <v>55</v>
      </c>
      <c r="F108" s="6" t="s">
        <v>101</v>
      </c>
      <c r="G108" s="6" t="s">
        <v>57</v>
      </c>
      <c r="H108" s="6">
        <v>2024</v>
      </c>
      <c r="I108" s="7">
        <v>382421150</v>
      </c>
    </row>
    <row r="109" spans="1:9" x14ac:dyDescent="0.2">
      <c r="A109" s="6" t="s">
        <v>97</v>
      </c>
      <c r="B109" s="6" t="s">
        <v>45</v>
      </c>
      <c r="C109" s="6" t="s">
        <v>18</v>
      </c>
      <c r="D109" s="6"/>
      <c r="E109" s="6" t="s">
        <v>55</v>
      </c>
      <c r="F109" s="6" t="s">
        <v>101</v>
      </c>
      <c r="G109" s="6" t="s">
        <v>58</v>
      </c>
      <c r="H109" s="6">
        <v>2024</v>
      </c>
      <c r="I109" s="7">
        <v>62620</v>
      </c>
    </row>
    <row r="110" spans="1:9" x14ac:dyDescent="0.2">
      <c r="A110" s="6" t="s">
        <v>97</v>
      </c>
      <c r="B110" s="6" t="s">
        <v>45</v>
      </c>
      <c r="C110" s="6" t="s">
        <v>18</v>
      </c>
      <c r="D110" s="6"/>
      <c r="E110" s="6" t="s">
        <v>55</v>
      </c>
      <c r="F110" s="6" t="s">
        <v>101</v>
      </c>
      <c r="G110" s="6" t="s">
        <v>57</v>
      </c>
      <c r="H110" s="6">
        <v>2023</v>
      </c>
      <c r="I110" s="7">
        <v>197720</v>
      </c>
    </row>
    <row r="111" spans="1:9" x14ac:dyDescent="0.2">
      <c r="A111" s="6" t="s">
        <v>97</v>
      </c>
      <c r="B111" s="6" t="s">
        <v>45</v>
      </c>
      <c r="C111" s="6" t="s">
        <v>18</v>
      </c>
      <c r="D111" s="6"/>
      <c r="E111" s="6" t="s">
        <v>55</v>
      </c>
      <c r="F111" s="6" t="s">
        <v>103</v>
      </c>
      <c r="G111" s="6" t="s">
        <v>59</v>
      </c>
      <c r="H111" s="6">
        <v>2024</v>
      </c>
      <c r="I111" s="7">
        <v>1099380</v>
      </c>
    </row>
    <row r="112" spans="1:9" x14ac:dyDescent="0.2">
      <c r="A112" s="6" t="s">
        <v>97</v>
      </c>
      <c r="B112" s="6" t="s">
        <v>45</v>
      </c>
      <c r="C112" s="6" t="s">
        <v>18</v>
      </c>
      <c r="D112" s="6"/>
      <c r="E112" s="6" t="s">
        <v>55</v>
      </c>
      <c r="F112" s="6" t="s">
        <v>102</v>
      </c>
      <c r="G112" s="6" t="s">
        <v>60</v>
      </c>
      <c r="H112" s="6">
        <v>2024</v>
      </c>
      <c r="I112" s="7">
        <v>2431870</v>
      </c>
    </row>
    <row r="113" spans="1:9" x14ac:dyDescent="0.2">
      <c r="A113" s="6" t="s">
        <v>97</v>
      </c>
      <c r="B113" s="6" t="s">
        <v>45</v>
      </c>
      <c r="C113" s="6" t="s">
        <v>18</v>
      </c>
      <c r="D113" s="6"/>
      <c r="E113" s="6" t="s">
        <v>55</v>
      </c>
      <c r="F113" s="6" t="s">
        <v>102</v>
      </c>
      <c r="G113" s="6" t="s">
        <v>61</v>
      </c>
      <c r="H113" s="6">
        <v>2024</v>
      </c>
      <c r="I113" s="7">
        <v>56454910</v>
      </c>
    </row>
    <row r="114" spans="1:9" x14ac:dyDescent="0.2">
      <c r="A114" s="6" t="s">
        <v>97</v>
      </c>
      <c r="B114" s="6" t="s">
        <v>45</v>
      </c>
      <c r="C114" s="6" t="s">
        <v>18</v>
      </c>
      <c r="D114" s="6"/>
      <c r="E114" s="6" t="s">
        <v>62</v>
      </c>
      <c r="F114" s="6" t="s">
        <v>100</v>
      </c>
      <c r="G114" s="6" t="s">
        <v>63</v>
      </c>
      <c r="H114" s="6">
        <v>2024</v>
      </c>
      <c r="I114" s="7">
        <v>11720</v>
      </c>
    </row>
    <row r="115" spans="1:9" x14ac:dyDescent="0.2">
      <c r="A115" s="6" t="s">
        <v>97</v>
      </c>
      <c r="B115" s="6" t="s">
        <v>45</v>
      </c>
      <c r="C115" s="6" t="s">
        <v>18</v>
      </c>
      <c r="D115" s="6"/>
      <c r="E115" s="6" t="s">
        <v>62</v>
      </c>
      <c r="F115" s="6" t="s">
        <v>100</v>
      </c>
      <c r="G115" s="6" t="s">
        <v>64</v>
      </c>
      <c r="H115" s="6">
        <v>2024</v>
      </c>
      <c r="I115" s="7">
        <v>113058100</v>
      </c>
    </row>
    <row r="116" spans="1:9" x14ac:dyDescent="0.2">
      <c r="A116" s="6" t="s">
        <v>97</v>
      </c>
      <c r="B116" s="6" t="s">
        <v>45</v>
      </c>
      <c r="C116" s="6" t="s">
        <v>18</v>
      </c>
      <c r="D116" s="6"/>
      <c r="E116" s="6" t="s">
        <v>62</v>
      </c>
      <c r="F116" s="6" t="s">
        <v>100</v>
      </c>
      <c r="G116" s="6" t="s">
        <v>65</v>
      </c>
      <c r="H116" s="6">
        <v>2024</v>
      </c>
      <c r="I116" s="7">
        <v>39908470</v>
      </c>
    </row>
    <row r="117" spans="1:9" x14ac:dyDescent="0.2">
      <c r="A117" s="6" t="s">
        <v>97</v>
      </c>
      <c r="B117" s="6" t="s">
        <v>45</v>
      </c>
      <c r="C117" s="6" t="s">
        <v>18</v>
      </c>
      <c r="D117" s="6"/>
      <c r="E117" s="6" t="s">
        <v>62</v>
      </c>
      <c r="F117" s="6" t="s">
        <v>100</v>
      </c>
      <c r="G117" s="6" t="s">
        <v>66</v>
      </c>
      <c r="H117" s="6">
        <v>2024</v>
      </c>
      <c r="I117" s="7">
        <v>3580870</v>
      </c>
    </row>
    <row r="118" spans="1:9" x14ac:dyDescent="0.2">
      <c r="A118" s="6" t="s">
        <v>97</v>
      </c>
      <c r="B118" s="6" t="s">
        <v>45</v>
      </c>
      <c r="C118" s="6" t="s">
        <v>18</v>
      </c>
      <c r="D118" s="6"/>
      <c r="E118" s="6" t="s">
        <v>62</v>
      </c>
      <c r="F118" s="6" t="s">
        <v>100</v>
      </c>
      <c r="G118" s="6" t="s">
        <v>67</v>
      </c>
      <c r="H118" s="6">
        <v>2024</v>
      </c>
      <c r="I118" s="7">
        <v>3523780</v>
      </c>
    </row>
    <row r="119" spans="1:9" x14ac:dyDescent="0.2">
      <c r="A119" s="6" t="s">
        <v>97</v>
      </c>
      <c r="B119" s="6" t="s">
        <v>45</v>
      </c>
      <c r="C119" s="6" t="s">
        <v>18</v>
      </c>
      <c r="D119" s="6"/>
      <c r="E119" s="6" t="s">
        <v>62</v>
      </c>
      <c r="F119" s="6" t="s">
        <v>100</v>
      </c>
      <c r="G119" s="6" t="s">
        <v>63</v>
      </c>
      <c r="H119" s="6">
        <v>2023</v>
      </c>
      <c r="I119" s="7">
        <v>10130</v>
      </c>
    </row>
    <row r="120" spans="1:9" x14ac:dyDescent="0.2">
      <c r="A120" s="6" t="s">
        <v>97</v>
      </c>
      <c r="B120" s="6" t="s">
        <v>45</v>
      </c>
      <c r="C120" s="6" t="s">
        <v>18</v>
      </c>
      <c r="D120" s="6"/>
      <c r="E120" s="6" t="s">
        <v>62</v>
      </c>
      <c r="F120" s="6" t="s">
        <v>100</v>
      </c>
      <c r="G120" s="6" t="s">
        <v>64</v>
      </c>
      <c r="H120" s="6">
        <v>2023</v>
      </c>
      <c r="I120" s="7">
        <v>31860600</v>
      </c>
    </row>
    <row r="121" spans="1:9" x14ac:dyDescent="0.2">
      <c r="A121" s="6" t="s">
        <v>97</v>
      </c>
      <c r="B121" s="6" t="s">
        <v>45</v>
      </c>
      <c r="C121" s="6" t="s">
        <v>18</v>
      </c>
      <c r="D121" s="6"/>
      <c r="E121" s="6" t="s">
        <v>62</v>
      </c>
      <c r="F121" s="6" t="s">
        <v>100</v>
      </c>
      <c r="G121" s="6" t="s">
        <v>65</v>
      </c>
      <c r="H121" s="6">
        <v>2023</v>
      </c>
      <c r="I121" s="7">
        <v>90938180</v>
      </c>
    </row>
    <row r="122" spans="1:9" x14ac:dyDescent="0.2">
      <c r="A122" s="6" t="s">
        <v>97</v>
      </c>
      <c r="B122" s="6" t="s">
        <v>45</v>
      </c>
      <c r="C122" s="6" t="s">
        <v>18</v>
      </c>
      <c r="D122" s="6"/>
      <c r="E122" s="6" t="s">
        <v>62</v>
      </c>
      <c r="F122" s="6" t="s">
        <v>100</v>
      </c>
      <c r="G122" s="6" t="s">
        <v>68</v>
      </c>
      <c r="H122" s="6">
        <v>2023</v>
      </c>
      <c r="I122" s="7">
        <v>74160</v>
      </c>
    </row>
    <row r="123" spans="1:9" x14ac:dyDescent="0.2">
      <c r="A123" s="6" t="s">
        <v>97</v>
      </c>
      <c r="B123" s="6" t="s">
        <v>45</v>
      </c>
      <c r="C123" s="6" t="s">
        <v>18</v>
      </c>
      <c r="D123" s="6"/>
      <c r="E123" s="6" t="s">
        <v>62</v>
      </c>
      <c r="F123" s="6" t="s">
        <v>100</v>
      </c>
      <c r="G123" s="6" t="s">
        <v>69</v>
      </c>
      <c r="H123" s="6">
        <v>2023</v>
      </c>
      <c r="I123" s="7">
        <v>690</v>
      </c>
    </row>
    <row r="124" spans="1:9" x14ac:dyDescent="0.2">
      <c r="A124" s="6" t="s">
        <v>97</v>
      </c>
      <c r="B124" s="6" t="s">
        <v>45</v>
      </c>
      <c r="C124" s="6" t="s">
        <v>18</v>
      </c>
      <c r="D124" s="6"/>
      <c r="E124" s="6" t="s">
        <v>62</v>
      </c>
      <c r="F124" s="6" t="s">
        <v>100</v>
      </c>
      <c r="G124" s="6" t="s">
        <v>66</v>
      </c>
      <c r="H124" s="6">
        <v>2023</v>
      </c>
      <c r="I124" s="7">
        <v>4947910</v>
      </c>
    </row>
    <row r="125" spans="1:9" x14ac:dyDescent="0.2">
      <c r="A125" s="6" t="s">
        <v>97</v>
      </c>
      <c r="B125" s="6" t="s">
        <v>45</v>
      </c>
      <c r="C125" s="6" t="s">
        <v>18</v>
      </c>
      <c r="D125" s="6"/>
      <c r="E125" s="6" t="s">
        <v>62</v>
      </c>
      <c r="F125" s="6" t="s">
        <v>100</v>
      </c>
      <c r="G125" s="6" t="s">
        <v>67</v>
      </c>
      <c r="H125" s="6">
        <v>2023</v>
      </c>
      <c r="I125" s="7">
        <v>4627830</v>
      </c>
    </row>
    <row r="126" spans="1:9" x14ac:dyDescent="0.2">
      <c r="A126" s="6" t="s">
        <v>97</v>
      </c>
      <c r="B126" s="6" t="s">
        <v>45</v>
      </c>
      <c r="C126" s="6" t="s">
        <v>18</v>
      </c>
      <c r="D126" s="6"/>
      <c r="E126" s="6" t="s">
        <v>62</v>
      </c>
      <c r="F126" s="6" t="s">
        <v>100</v>
      </c>
      <c r="G126" s="6" t="s">
        <v>63</v>
      </c>
      <c r="H126" s="6">
        <v>2022</v>
      </c>
      <c r="I126" s="7">
        <v>61970</v>
      </c>
    </row>
    <row r="127" spans="1:9" x14ac:dyDescent="0.2">
      <c r="A127" s="6" t="s">
        <v>97</v>
      </c>
      <c r="B127" s="6" t="s">
        <v>45</v>
      </c>
      <c r="C127" s="6" t="s">
        <v>18</v>
      </c>
      <c r="D127" s="6"/>
      <c r="E127" s="6" t="s">
        <v>62</v>
      </c>
      <c r="F127" s="6" t="s">
        <v>100</v>
      </c>
      <c r="G127" s="6" t="s">
        <v>65</v>
      </c>
      <c r="H127" s="6">
        <v>2022</v>
      </c>
      <c r="I127" s="7">
        <v>96117010</v>
      </c>
    </row>
    <row r="128" spans="1:9" x14ac:dyDescent="0.2">
      <c r="A128" s="6" t="s">
        <v>97</v>
      </c>
      <c r="B128" s="6" t="s">
        <v>45</v>
      </c>
      <c r="C128" s="6" t="s">
        <v>18</v>
      </c>
      <c r="D128" s="6"/>
      <c r="E128" s="6" t="s">
        <v>62</v>
      </c>
      <c r="F128" s="6" t="s">
        <v>100</v>
      </c>
      <c r="G128" s="6" t="s">
        <v>68</v>
      </c>
      <c r="H128" s="6">
        <v>2022</v>
      </c>
      <c r="I128" s="7">
        <v>155430</v>
      </c>
    </row>
    <row r="129" spans="1:9" x14ac:dyDescent="0.2">
      <c r="A129" s="6" t="s">
        <v>97</v>
      </c>
      <c r="B129" s="6" t="s">
        <v>45</v>
      </c>
      <c r="C129" s="6" t="s">
        <v>18</v>
      </c>
      <c r="D129" s="6"/>
      <c r="E129" s="6" t="s">
        <v>62</v>
      </c>
      <c r="F129" s="6" t="s">
        <v>100</v>
      </c>
      <c r="G129" s="6" t="s">
        <v>69</v>
      </c>
      <c r="H129" s="6">
        <v>2022</v>
      </c>
      <c r="I129" s="7">
        <v>1710</v>
      </c>
    </row>
    <row r="130" spans="1:9" x14ac:dyDescent="0.2">
      <c r="A130" s="6" t="s">
        <v>97</v>
      </c>
      <c r="B130" s="6" t="s">
        <v>45</v>
      </c>
      <c r="C130" s="6" t="s">
        <v>18</v>
      </c>
      <c r="D130" s="6"/>
      <c r="E130" s="6" t="s">
        <v>62</v>
      </c>
      <c r="F130" s="6" t="s">
        <v>100</v>
      </c>
      <c r="G130" s="6" t="s">
        <v>66</v>
      </c>
      <c r="H130" s="6">
        <v>2022</v>
      </c>
      <c r="I130" s="7">
        <v>5723640</v>
      </c>
    </row>
    <row r="131" spans="1:9" x14ac:dyDescent="0.2">
      <c r="A131" s="6" t="s">
        <v>97</v>
      </c>
      <c r="B131" s="6" t="s">
        <v>45</v>
      </c>
      <c r="C131" s="6" t="s">
        <v>18</v>
      </c>
      <c r="D131" s="6"/>
      <c r="E131" s="6" t="s">
        <v>62</v>
      </c>
      <c r="F131" s="6" t="s">
        <v>100</v>
      </c>
      <c r="G131" s="6" t="s">
        <v>67</v>
      </c>
      <c r="H131" s="6">
        <v>2022</v>
      </c>
      <c r="I131" s="7">
        <v>5427430</v>
      </c>
    </row>
    <row r="132" spans="1:9" x14ac:dyDescent="0.2">
      <c r="A132" s="6" t="s">
        <v>97</v>
      </c>
      <c r="B132" s="6" t="s">
        <v>45</v>
      </c>
      <c r="C132" s="6" t="s">
        <v>18</v>
      </c>
      <c r="D132" s="6"/>
      <c r="E132" s="6" t="s">
        <v>62</v>
      </c>
      <c r="F132" s="6" t="s">
        <v>101</v>
      </c>
      <c r="G132" s="6" t="s">
        <v>70</v>
      </c>
      <c r="H132" s="6">
        <v>2024</v>
      </c>
      <c r="I132" s="7">
        <v>226020</v>
      </c>
    </row>
    <row r="133" spans="1:9" x14ac:dyDescent="0.2">
      <c r="A133" s="6" t="s">
        <v>97</v>
      </c>
      <c r="B133" s="6" t="s">
        <v>45</v>
      </c>
      <c r="C133" s="6" t="s">
        <v>18</v>
      </c>
      <c r="D133" s="6"/>
      <c r="E133" s="6" t="s">
        <v>62</v>
      </c>
      <c r="F133" s="6" t="s">
        <v>101</v>
      </c>
      <c r="G133" s="6" t="s">
        <v>71</v>
      </c>
      <c r="H133" s="6">
        <v>2024</v>
      </c>
      <c r="I133" s="7">
        <v>50190</v>
      </c>
    </row>
    <row r="134" spans="1:9" x14ac:dyDescent="0.2">
      <c r="A134" s="6" t="s">
        <v>97</v>
      </c>
      <c r="B134" s="6" t="s">
        <v>45</v>
      </c>
      <c r="C134" s="6" t="s">
        <v>18</v>
      </c>
      <c r="D134" s="6"/>
      <c r="E134" s="6" t="s">
        <v>62</v>
      </c>
      <c r="F134" s="6" t="s">
        <v>101</v>
      </c>
      <c r="G134" s="6" t="s">
        <v>72</v>
      </c>
      <c r="H134" s="6">
        <v>2024</v>
      </c>
      <c r="I134" s="7">
        <v>6129820</v>
      </c>
    </row>
    <row r="135" spans="1:9" x14ac:dyDescent="0.2">
      <c r="A135" s="6" t="s">
        <v>97</v>
      </c>
      <c r="B135" s="6" t="s">
        <v>45</v>
      </c>
      <c r="C135" s="6" t="s">
        <v>18</v>
      </c>
      <c r="D135" s="6"/>
      <c r="E135" s="6" t="s">
        <v>62</v>
      </c>
      <c r="F135" s="6" t="s">
        <v>101</v>
      </c>
      <c r="G135" s="6" t="s">
        <v>73</v>
      </c>
      <c r="H135" s="6">
        <v>2024</v>
      </c>
      <c r="I135" s="7">
        <v>90240</v>
      </c>
    </row>
    <row r="136" spans="1:9" x14ac:dyDescent="0.2">
      <c r="A136" s="6" t="s">
        <v>97</v>
      </c>
      <c r="B136" s="6" t="s">
        <v>45</v>
      </c>
      <c r="C136" s="6" t="s">
        <v>18</v>
      </c>
      <c r="D136" s="6"/>
      <c r="E136" s="6" t="s">
        <v>62</v>
      </c>
      <c r="F136" s="6" t="s">
        <v>101</v>
      </c>
      <c r="G136" s="6" t="s">
        <v>70</v>
      </c>
      <c r="H136" s="6">
        <v>2023</v>
      </c>
      <c r="I136" s="7">
        <v>311950</v>
      </c>
    </row>
    <row r="137" spans="1:9" x14ac:dyDescent="0.2">
      <c r="A137" s="6" t="s">
        <v>97</v>
      </c>
      <c r="B137" s="6" t="s">
        <v>45</v>
      </c>
      <c r="C137" s="6" t="s">
        <v>18</v>
      </c>
      <c r="D137" s="6"/>
      <c r="E137" s="6" t="s">
        <v>62</v>
      </c>
      <c r="F137" s="6" t="s">
        <v>101</v>
      </c>
      <c r="G137" s="6" t="s">
        <v>71</v>
      </c>
      <c r="H137" s="6">
        <v>2023</v>
      </c>
      <c r="I137" s="7">
        <v>85320</v>
      </c>
    </row>
    <row r="138" spans="1:9" x14ac:dyDescent="0.2">
      <c r="A138" s="6" t="s">
        <v>97</v>
      </c>
      <c r="B138" s="6" t="s">
        <v>45</v>
      </c>
      <c r="C138" s="6" t="s">
        <v>18</v>
      </c>
      <c r="D138" s="6"/>
      <c r="E138" s="6" t="s">
        <v>62</v>
      </c>
      <c r="F138" s="6" t="s">
        <v>101</v>
      </c>
      <c r="G138" s="6" t="s">
        <v>72</v>
      </c>
      <c r="H138" s="6">
        <v>2023</v>
      </c>
      <c r="I138" s="7">
        <v>9237790</v>
      </c>
    </row>
    <row r="139" spans="1:9" x14ac:dyDescent="0.2">
      <c r="A139" s="6" t="s">
        <v>97</v>
      </c>
      <c r="B139" s="6" t="s">
        <v>45</v>
      </c>
      <c r="C139" s="6" t="s">
        <v>18</v>
      </c>
      <c r="D139" s="6"/>
      <c r="E139" s="6" t="s">
        <v>62</v>
      </c>
      <c r="F139" s="6" t="s">
        <v>101</v>
      </c>
      <c r="G139" s="6" t="s">
        <v>73</v>
      </c>
      <c r="H139" s="6">
        <v>2023</v>
      </c>
      <c r="I139" s="7">
        <v>57290</v>
      </c>
    </row>
    <row r="140" spans="1:9" x14ac:dyDescent="0.2">
      <c r="A140" s="6" t="s">
        <v>97</v>
      </c>
      <c r="B140" s="6" t="s">
        <v>45</v>
      </c>
      <c r="C140" s="6" t="s">
        <v>18</v>
      </c>
      <c r="D140" s="6"/>
      <c r="E140" s="6" t="s">
        <v>62</v>
      </c>
      <c r="F140" s="6" t="s">
        <v>101</v>
      </c>
      <c r="G140" s="6" t="s">
        <v>70</v>
      </c>
      <c r="H140" s="6">
        <v>2022</v>
      </c>
      <c r="I140" s="7">
        <v>457730</v>
      </c>
    </row>
    <row r="141" spans="1:9" x14ac:dyDescent="0.2">
      <c r="A141" s="6" t="s">
        <v>97</v>
      </c>
      <c r="B141" s="6" t="s">
        <v>45</v>
      </c>
      <c r="C141" s="6" t="s">
        <v>18</v>
      </c>
      <c r="D141" s="6"/>
      <c r="E141" s="6" t="s">
        <v>62</v>
      </c>
      <c r="F141" s="6" t="s">
        <v>101</v>
      </c>
      <c r="G141" s="6" t="s">
        <v>71</v>
      </c>
      <c r="H141" s="6">
        <v>2022</v>
      </c>
      <c r="I141" s="7">
        <v>197780</v>
      </c>
    </row>
    <row r="142" spans="1:9" x14ac:dyDescent="0.2">
      <c r="A142" s="6" t="s">
        <v>97</v>
      </c>
      <c r="B142" s="6" t="s">
        <v>45</v>
      </c>
      <c r="C142" s="6" t="s">
        <v>18</v>
      </c>
      <c r="D142" s="6"/>
      <c r="E142" s="6" t="s">
        <v>62</v>
      </c>
      <c r="F142" s="6" t="s">
        <v>101</v>
      </c>
      <c r="G142" s="6" t="s">
        <v>72</v>
      </c>
      <c r="H142" s="6">
        <v>2022</v>
      </c>
      <c r="I142" s="7">
        <v>9780080</v>
      </c>
    </row>
    <row r="143" spans="1:9" x14ac:dyDescent="0.2">
      <c r="A143" s="6" t="s">
        <v>97</v>
      </c>
      <c r="B143" s="6" t="s">
        <v>45</v>
      </c>
      <c r="C143" s="6" t="s">
        <v>18</v>
      </c>
      <c r="D143" s="6"/>
      <c r="E143" s="6" t="s">
        <v>62</v>
      </c>
      <c r="F143" s="6" t="s">
        <v>101</v>
      </c>
      <c r="G143" s="6" t="s">
        <v>73</v>
      </c>
      <c r="H143" s="6">
        <v>2022</v>
      </c>
      <c r="I143" s="7">
        <v>68710</v>
      </c>
    </row>
    <row r="144" spans="1:9" x14ac:dyDescent="0.2">
      <c r="A144" s="6" t="s">
        <v>97</v>
      </c>
      <c r="B144" s="6" t="s">
        <v>45</v>
      </c>
      <c r="C144" s="6" t="s">
        <v>18</v>
      </c>
      <c r="D144" s="6"/>
      <c r="E144" s="6" t="s">
        <v>62</v>
      </c>
      <c r="F144" s="6" t="s">
        <v>103</v>
      </c>
      <c r="G144" s="6" t="s">
        <v>74</v>
      </c>
      <c r="H144" s="6">
        <v>2024</v>
      </c>
      <c r="I144" s="7">
        <v>248711270</v>
      </c>
    </row>
    <row r="145" spans="1:9" x14ac:dyDescent="0.2">
      <c r="A145" s="6" t="s">
        <v>97</v>
      </c>
      <c r="B145" s="6" t="s">
        <v>45</v>
      </c>
      <c r="C145" s="6" t="s">
        <v>18</v>
      </c>
      <c r="D145" s="6"/>
      <c r="E145" s="6" t="s">
        <v>62</v>
      </c>
      <c r="F145" s="6" t="s">
        <v>103</v>
      </c>
      <c r="G145" s="6" t="s">
        <v>75</v>
      </c>
      <c r="H145" s="6">
        <v>2024</v>
      </c>
      <c r="I145" s="7">
        <v>7306150</v>
      </c>
    </row>
    <row r="146" spans="1:9" x14ac:dyDescent="0.2">
      <c r="A146" s="6" t="s">
        <v>97</v>
      </c>
      <c r="B146" s="6" t="s">
        <v>45</v>
      </c>
      <c r="C146" s="6" t="s">
        <v>18</v>
      </c>
      <c r="D146" s="6"/>
      <c r="E146" s="6" t="s">
        <v>62</v>
      </c>
      <c r="F146" s="6" t="s">
        <v>103</v>
      </c>
      <c r="G146" s="6" t="s">
        <v>76</v>
      </c>
      <c r="H146" s="6">
        <v>2024</v>
      </c>
      <c r="I146" s="7">
        <v>1333300</v>
      </c>
    </row>
    <row r="147" spans="1:9" x14ac:dyDescent="0.2">
      <c r="A147" s="6" t="s">
        <v>97</v>
      </c>
      <c r="B147" s="6" t="s">
        <v>45</v>
      </c>
      <c r="C147" s="6" t="s">
        <v>18</v>
      </c>
      <c r="D147" s="6"/>
      <c r="E147" s="6" t="s">
        <v>62</v>
      </c>
      <c r="F147" s="6" t="s">
        <v>103</v>
      </c>
      <c r="G147" s="6" t="s">
        <v>77</v>
      </c>
      <c r="H147" s="6">
        <v>2024</v>
      </c>
      <c r="I147" s="7">
        <v>1368950</v>
      </c>
    </row>
    <row r="148" spans="1:9" x14ac:dyDescent="0.2">
      <c r="A148" s="6" t="s">
        <v>97</v>
      </c>
      <c r="B148" s="6" t="s">
        <v>45</v>
      </c>
      <c r="C148" s="6" t="s">
        <v>18</v>
      </c>
      <c r="D148" s="6"/>
      <c r="E148" s="6" t="s">
        <v>62</v>
      </c>
      <c r="F148" s="6" t="s">
        <v>103</v>
      </c>
      <c r="G148" s="6" t="s">
        <v>78</v>
      </c>
      <c r="H148" s="6">
        <v>2024</v>
      </c>
      <c r="I148" s="7">
        <v>197247730</v>
      </c>
    </row>
    <row r="149" spans="1:9" x14ac:dyDescent="0.2">
      <c r="A149" s="6" t="s">
        <v>97</v>
      </c>
      <c r="B149" s="6" t="s">
        <v>45</v>
      </c>
      <c r="C149" s="6" t="s">
        <v>18</v>
      </c>
      <c r="D149" s="6"/>
      <c r="E149" s="6" t="s">
        <v>62</v>
      </c>
      <c r="F149" s="6" t="s">
        <v>103</v>
      </c>
      <c r="G149" s="6" t="s">
        <v>79</v>
      </c>
      <c r="H149" s="6">
        <v>2024</v>
      </c>
      <c r="I149" s="7">
        <v>272000</v>
      </c>
    </row>
    <row r="150" spans="1:9" x14ac:dyDescent="0.2">
      <c r="A150" s="6" t="s">
        <v>97</v>
      </c>
      <c r="B150" s="6" t="s">
        <v>45</v>
      </c>
      <c r="C150" s="6" t="s">
        <v>18</v>
      </c>
      <c r="D150" s="6"/>
      <c r="E150" s="6" t="s">
        <v>62</v>
      </c>
      <c r="F150" s="6" t="s">
        <v>103</v>
      </c>
      <c r="G150" s="6" t="s">
        <v>80</v>
      </c>
      <c r="H150" s="6">
        <v>2024</v>
      </c>
      <c r="I150" s="7">
        <v>2864940</v>
      </c>
    </row>
    <row r="151" spans="1:9" x14ac:dyDescent="0.2">
      <c r="A151" s="6" t="s">
        <v>97</v>
      </c>
      <c r="B151" s="6" t="s">
        <v>45</v>
      </c>
      <c r="C151" s="6" t="s">
        <v>18</v>
      </c>
      <c r="D151" s="6"/>
      <c r="E151" s="6" t="s">
        <v>62</v>
      </c>
      <c r="F151" s="6" t="s">
        <v>103</v>
      </c>
      <c r="G151" s="6" t="s">
        <v>81</v>
      </c>
      <c r="H151" s="6">
        <v>2024</v>
      </c>
      <c r="I151" s="7">
        <v>459510</v>
      </c>
    </row>
    <row r="152" spans="1:9" x14ac:dyDescent="0.2">
      <c r="A152" s="6" t="s">
        <v>97</v>
      </c>
      <c r="B152" s="6" t="s">
        <v>45</v>
      </c>
      <c r="C152" s="6" t="s">
        <v>18</v>
      </c>
      <c r="D152" s="6"/>
      <c r="E152" s="6" t="s">
        <v>62</v>
      </c>
      <c r="F152" s="6" t="s">
        <v>103</v>
      </c>
      <c r="G152" s="6" t="s">
        <v>82</v>
      </c>
      <c r="H152" s="6">
        <v>2024</v>
      </c>
      <c r="I152" s="7">
        <v>565190</v>
      </c>
    </row>
    <row r="153" spans="1:9" x14ac:dyDescent="0.2">
      <c r="A153" s="6" t="s">
        <v>97</v>
      </c>
      <c r="B153" s="6" t="s">
        <v>45</v>
      </c>
      <c r="C153" s="6" t="s">
        <v>18</v>
      </c>
      <c r="D153" s="6"/>
      <c r="E153" s="6" t="s">
        <v>62</v>
      </c>
      <c r="F153" s="6" t="s">
        <v>103</v>
      </c>
      <c r="G153" s="6" t="s">
        <v>83</v>
      </c>
      <c r="H153" s="6">
        <v>2024</v>
      </c>
      <c r="I153" s="7">
        <v>602100</v>
      </c>
    </row>
    <row r="154" spans="1:9" x14ac:dyDescent="0.2">
      <c r="A154" s="6" t="s">
        <v>97</v>
      </c>
      <c r="B154" s="6" t="s">
        <v>45</v>
      </c>
      <c r="C154" s="6" t="s">
        <v>18</v>
      </c>
      <c r="D154" s="6"/>
      <c r="E154" s="6" t="s">
        <v>62</v>
      </c>
      <c r="F154" s="6" t="s">
        <v>103</v>
      </c>
      <c r="G154" s="6" t="s">
        <v>84</v>
      </c>
      <c r="H154" s="6">
        <v>2024</v>
      </c>
      <c r="I154" s="7">
        <v>403870</v>
      </c>
    </row>
    <row r="155" spans="1:9" x14ac:dyDescent="0.2">
      <c r="A155" s="6" t="s">
        <v>97</v>
      </c>
      <c r="B155" s="6" t="s">
        <v>45</v>
      </c>
      <c r="C155" s="6" t="s">
        <v>18</v>
      </c>
      <c r="D155" s="6"/>
      <c r="E155" s="6" t="s">
        <v>62</v>
      </c>
      <c r="F155" s="6" t="s">
        <v>103</v>
      </c>
      <c r="G155" s="6" t="s">
        <v>74</v>
      </c>
      <c r="H155" s="6">
        <v>2023</v>
      </c>
      <c r="I155" s="7">
        <v>376218920</v>
      </c>
    </row>
    <row r="156" spans="1:9" x14ac:dyDescent="0.2">
      <c r="A156" s="6" t="s">
        <v>97</v>
      </c>
      <c r="B156" s="6" t="s">
        <v>45</v>
      </c>
      <c r="C156" s="6" t="s">
        <v>18</v>
      </c>
      <c r="D156" s="6"/>
      <c r="E156" s="6" t="s">
        <v>62</v>
      </c>
      <c r="F156" s="6" t="s">
        <v>103</v>
      </c>
      <c r="G156" s="6" t="s">
        <v>75</v>
      </c>
      <c r="H156" s="6">
        <v>2023</v>
      </c>
      <c r="I156" s="7">
        <v>12645580</v>
      </c>
    </row>
    <row r="157" spans="1:9" x14ac:dyDescent="0.2">
      <c r="A157" s="6" t="s">
        <v>97</v>
      </c>
      <c r="B157" s="6" t="s">
        <v>45</v>
      </c>
      <c r="C157" s="6" t="s">
        <v>18</v>
      </c>
      <c r="D157" s="6"/>
      <c r="E157" s="6" t="s">
        <v>62</v>
      </c>
      <c r="F157" s="6" t="s">
        <v>103</v>
      </c>
      <c r="G157" s="6" t="s">
        <v>76</v>
      </c>
      <c r="H157" s="6">
        <v>2023</v>
      </c>
      <c r="I157" s="7">
        <v>1805550</v>
      </c>
    </row>
    <row r="158" spans="1:9" x14ac:dyDescent="0.2">
      <c r="A158" s="6" t="s">
        <v>97</v>
      </c>
      <c r="B158" s="6" t="s">
        <v>45</v>
      </c>
      <c r="C158" s="6" t="s">
        <v>18</v>
      </c>
      <c r="D158" s="6"/>
      <c r="E158" s="6" t="s">
        <v>62</v>
      </c>
      <c r="F158" s="6" t="s">
        <v>103</v>
      </c>
      <c r="G158" s="6" t="s">
        <v>77</v>
      </c>
      <c r="H158" s="6">
        <v>2023</v>
      </c>
      <c r="I158" s="7">
        <v>1315050</v>
      </c>
    </row>
    <row r="159" spans="1:9" x14ac:dyDescent="0.2">
      <c r="A159" s="6" t="s">
        <v>97</v>
      </c>
      <c r="B159" s="6" t="s">
        <v>45</v>
      </c>
      <c r="C159" s="6" t="s">
        <v>18</v>
      </c>
      <c r="D159" s="6"/>
      <c r="E159" s="6" t="s">
        <v>62</v>
      </c>
      <c r="F159" s="6" t="s">
        <v>103</v>
      </c>
      <c r="G159" s="6" t="s">
        <v>78</v>
      </c>
      <c r="H159" s="6">
        <v>2023</v>
      </c>
      <c r="I159" s="7">
        <v>38424700</v>
      </c>
    </row>
    <row r="160" spans="1:9" x14ac:dyDescent="0.2">
      <c r="A160" s="6" t="s">
        <v>97</v>
      </c>
      <c r="B160" s="6" t="s">
        <v>45</v>
      </c>
      <c r="C160" s="6" t="s">
        <v>18</v>
      </c>
      <c r="D160" s="6"/>
      <c r="E160" s="6" t="s">
        <v>62</v>
      </c>
      <c r="F160" s="6" t="s">
        <v>103</v>
      </c>
      <c r="G160" s="6" t="s">
        <v>79</v>
      </c>
      <c r="H160" s="6">
        <v>2023</v>
      </c>
      <c r="I160" s="7">
        <v>267500</v>
      </c>
    </row>
    <row r="161" spans="1:9" x14ac:dyDescent="0.2">
      <c r="A161" s="6" t="s">
        <v>97</v>
      </c>
      <c r="B161" s="6" t="s">
        <v>45</v>
      </c>
      <c r="C161" s="6" t="s">
        <v>18</v>
      </c>
      <c r="D161" s="6"/>
      <c r="E161" s="6" t="s">
        <v>62</v>
      </c>
      <c r="F161" s="6" t="s">
        <v>103</v>
      </c>
      <c r="G161" s="6" t="s">
        <v>80</v>
      </c>
      <c r="H161" s="6">
        <v>2023</v>
      </c>
      <c r="I161" s="7">
        <v>2916660</v>
      </c>
    </row>
    <row r="162" spans="1:9" x14ac:dyDescent="0.2">
      <c r="A162" s="6" t="s">
        <v>97</v>
      </c>
      <c r="B162" s="6" t="s">
        <v>45</v>
      </c>
      <c r="C162" s="6" t="s">
        <v>18</v>
      </c>
      <c r="D162" s="6"/>
      <c r="E162" s="6" t="s">
        <v>62</v>
      </c>
      <c r="F162" s="6" t="s">
        <v>103</v>
      </c>
      <c r="G162" s="6" t="s">
        <v>81</v>
      </c>
      <c r="H162" s="6">
        <v>2023</v>
      </c>
      <c r="I162" s="7">
        <v>422470</v>
      </c>
    </row>
    <row r="163" spans="1:9" x14ac:dyDescent="0.2">
      <c r="A163" s="6" t="s">
        <v>97</v>
      </c>
      <c r="B163" s="6" t="s">
        <v>45</v>
      </c>
      <c r="C163" s="6" t="s">
        <v>18</v>
      </c>
      <c r="D163" s="6"/>
      <c r="E163" s="6" t="s">
        <v>62</v>
      </c>
      <c r="F163" s="6" t="s">
        <v>103</v>
      </c>
      <c r="G163" s="6" t="s">
        <v>82</v>
      </c>
      <c r="H163" s="6">
        <v>2023</v>
      </c>
      <c r="I163" s="7">
        <v>612200</v>
      </c>
    </row>
    <row r="164" spans="1:9" x14ac:dyDescent="0.2">
      <c r="A164" s="6" t="s">
        <v>97</v>
      </c>
      <c r="B164" s="6" t="s">
        <v>45</v>
      </c>
      <c r="C164" s="6" t="s">
        <v>18</v>
      </c>
      <c r="D164" s="6"/>
      <c r="E164" s="6" t="s">
        <v>62</v>
      </c>
      <c r="F164" s="6" t="s">
        <v>103</v>
      </c>
      <c r="G164" s="6" t="s">
        <v>83</v>
      </c>
      <c r="H164" s="6">
        <v>2023</v>
      </c>
      <c r="I164" s="7">
        <v>593960</v>
      </c>
    </row>
    <row r="165" spans="1:9" x14ac:dyDescent="0.2">
      <c r="A165" s="6" t="s">
        <v>97</v>
      </c>
      <c r="B165" s="6" t="s">
        <v>45</v>
      </c>
      <c r="C165" s="6" t="s">
        <v>18</v>
      </c>
      <c r="D165" s="6"/>
      <c r="E165" s="6" t="s">
        <v>62</v>
      </c>
      <c r="F165" s="6" t="s">
        <v>103</v>
      </c>
      <c r="G165" s="6" t="s">
        <v>84</v>
      </c>
      <c r="H165" s="6">
        <v>2023</v>
      </c>
      <c r="I165" s="7">
        <v>406360</v>
      </c>
    </row>
    <row r="166" spans="1:9" x14ac:dyDescent="0.2">
      <c r="A166" s="6" t="s">
        <v>97</v>
      </c>
      <c r="B166" s="6" t="s">
        <v>45</v>
      </c>
      <c r="C166" s="6" t="s">
        <v>18</v>
      </c>
      <c r="D166" s="6"/>
      <c r="E166" s="6" t="s">
        <v>62</v>
      </c>
      <c r="F166" s="6" t="s">
        <v>103</v>
      </c>
      <c r="G166" s="6" t="s">
        <v>74</v>
      </c>
      <c r="H166" s="6">
        <v>2022</v>
      </c>
      <c r="I166" s="7">
        <v>337057350</v>
      </c>
    </row>
    <row r="167" spans="1:9" x14ac:dyDescent="0.2">
      <c r="A167" s="6" t="s">
        <v>97</v>
      </c>
      <c r="B167" s="6" t="s">
        <v>45</v>
      </c>
      <c r="C167" s="6" t="s">
        <v>18</v>
      </c>
      <c r="D167" s="6"/>
      <c r="E167" s="6" t="s">
        <v>62</v>
      </c>
      <c r="F167" s="6" t="s">
        <v>103</v>
      </c>
      <c r="G167" s="6" t="s">
        <v>75</v>
      </c>
      <c r="H167" s="6">
        <v>2022</v>
      </c>
      <c r="I167" s="7">
        <v>15516910</v>
      </c>
    </row>
    <row r="168" spans="1:9" x14ac:dyDescent="0.2">
      <c r="A168" s="6" t="s">
        <v>97</v>
      </c>
      <c r="B168" s="6" t="s">
        <v>45</v>
      </c>
      <c r="C168" s="6" t="s">
        <v>18</v>
      </c>
      <c r="D168" s="6"/>
      <c r="E168" s="6" t="s">
        <v>62</v>
      </c>
      <c r="F168" s="6" t="s">
        <v>103</v>
      </c>
      <c r="G168" s="6" t="s">
        <v>76</v>
      </c>
      <c r="H168" s="6">
        <v>2022</v>
      </c>
      <c r="I168" s="7">
        <v>1941790</v>
      </c>
    </row>
    <row r="169" spans="1:9" x14ac:dyDescent="0.2">
      <c r="A169" s="6" t="s">
        <v>97</v>
      </c>
      <c r="B169" s="6" t="s">
        <v>45</v>
      </c>
      <c r="C169" s="6" t="s">
        <v>18</v>
      </c>
      <c r="D169" s="6"/>
      <c r="E169" s="6" t="s">
        <v>62</v>
      </c>
      <c r="F169" s="6" t="s">
        <v>103</v>
      </c>
      <c r="G169" s="6" t="s">
        <v>77</v>
      </c>
      <c r="H169" s="6">
        <v>2022</v>
      </c>
      <c r="I169" s="7">
        <v>1281230</v>
      </c>
    </row>
    <row r="170" spans="1:9" x14ac:dyDescent="0.2">
      <c r="A170" s="6" t="s">
        <v>97</v>
      </c>
      <c r="B170" s="6" t="s">
        <v>45</v>
      </c>
      <c r="C170" s="6" t="s">
        <v>18</v>
      </c>
      <c r="D170" s="6"/>
      <c r="E170" s="6" t="s">
        <v>62</v>
      </c>
      <c r="F170" s="6" t="s">
        <v>103</v>
      </c>
      <c r="G170" s="6" t="s">
        <v>79</v>
      </c>
      <c r="H170" s="6">
        <v>2022</v>
      </c>
      <c r="I170" s="7">
        <v>279370</v>
      </c>
    </row>
    <row r="171" spans="1:9" x14ac:dyDescent="0.2">
      <c r="A171" s="6" t="s">
        <v>97</v>
      </c>
      <c r="B171" s="6" t="s">
        <v>45</v>
      </c>
      <c r="C171" s="6" t="s">
        <v>18</v>
      </c>
      <c r="D171" s="6"/>
      <c r="E171" s="6" t="s">
        <v>62</v>
      </c>
      <c r="F171" s="6" t="s">
        <v>103</v>
      </c>
      <c r="G171" s="6" t="s">
        <v>80</v>
      </c>
      <c r="H171" s="6">
        <v>2022</v>
      </c>
      <c r="I171" s="7">
        <v>3606080</v>
      </c>
    </row>
    <row r="172" spans="1:9" x14ac:dyDescent="0.2">
      <c r="A172" s="6" t="s">
        <v>97</v>
      </c>
      <c r="B172" s="6" t="s">
        <v>45</v>
      </c>
      <c r="C172" s="6" t="s">
        <v>18</v>
      </c>
      <c r="D172" s="6"/>
      <c r="E172" s="6" t="s">
        <v>62</v>
      </c>
      <c r="F172" s="6" t="s">
        <v>103</v>
      </c>
      <c r="G172" s="6" t="s">
        <v>81</v>
      </c>
      <c r="H172" s="6">
        <v>2022</v>
      </c>
      <c r="I172" s="7">
        <v>436880</v>
      </c>
    </row>
    <row r="173" spans="1:9" x14ac:dyDescent="0.2">
      <c r="A173" s="6" t="s">
        <v>97</v>
      </c>
      <c r="B173" s="6" t="s">
        <v>45</v>
      </c>
      <c r="C173" s="6" t="s">
        <v>18</v>
      </c>
      <c r="D173" s="6"/>
      <c r="E173" s="6" t="s">
        <v>62</v>
      </c>
      <c r="F173" s="6" t="s">
        <v>103</v>
      </c>
      <c r="G173" s="6" t="s">
        <v>82</v>
      </c>
      <c r="H173" s="6">
        <v>2022</v>
      </c>
      <c r="I173" s="7">
        <v>637940</v>
      </c>
    </row>
    <row r="174" spans="1:9" x14ac:dyDescent="0.2">
      <c r="A174" s="6" t="s">
        <v>97</v>
      </c>
      <c r="B174" s="6" t="s">
        <v>45</v>
      </c>
      <c r="C174" s="6" t="s">
        <v>18</v>
      </c>
      <c r="D174" s="6"/>
      <c r="E174" s="6" t="s">
        <v>62</v>
      </c>
      <c r="F174" s="6" t="s">
        <v>103</v>
      </c>
      <c r="G174" s="6" t="s">
        <v>83</v>
      </c>
      <c r="H174" s="6">
        <v>2022</v>
      </c>
      <c r="I174" s="7">
        <v>447260</v>
      </c>
    </row>
    <row r="175" spans="1:9" x14ac:dyDescent="0.2">
      <c r="A175" s="6" t="s">
        <v>97</v>
      </c>
      <c r="B175" s="6" t="s">
        <v>45</v>
      </c>
      <c r="C175" s="6" t="s">
        <v>18</v>
      </c>
      <c r="D175" s="6"/>
      <c r="E175" s="6" t="s">
        <v>62</v>
      </c>
      <c r="F175" s="6" t="s">
        <v>103</v>
      </c>
      <c r="G175" s="6" t="s">
        <v>84</v>
      </c>
      <c r="H175" s="6">
        <v>2022</v>
      </c>
      <c r="I175" s="7">
        <v>410640</v>
      </c>
    </row>
    <row r="176" spans="1:9" x14ac:dyDescent="0.2">
      <c r="A176" s="6" t="s">
        <v>97</v>
      </c>
      <c r="B176" s="6" t="s">
        <v>45</v>
      </c>
      <c r="C176" s="6" t="s">
        <v>18</v>
      </c>
      <c r="D176" s="6"/>
      <c r="E176" s="6" t="s">
        <v>62</v>
      </c>
      <c r="F176" s="6" t="s">
        <v>102</v>
      </c>
      <c r="G176" s="6" t="s">
        <v>85</v>
      </c>
      <c r="H176" s="6">
        <v>2024</v>
      </c>
      <c r="I176" s="7">
        <v>689120</v>
      </c>
    </row>
    <row r="177" spans="1:9" x14ac:dyDescent="0.2">
      <c r="A177" s="6" t="s">
        <v>97</v>
      </c>
      <c r="B177" s="6" t="s">
        <v>45</v>
      </c>
      <c r="C177" s="6" t="s">
        <v>18</v>
      </c>
      <c r="D177" s="6"/>
      <c r="E177" s="6" t="s">
        <v>62</v>
      </c>
      <c r="F177" s="6" t="s">
        <v>102</v>
      </c>
      <c r="G177" s="6" t="s">
        <v>85</v>
      </c>
      <c r="H177" s="6">
        <v>2023</v>
      </c>
      <c r="I177" s="7">
        <v>1034920</v>
      </c>
    </row>
    <row r="178" spans="1:9" x14ac:dyDescent="0.2">
      <c r="A178" s="6" t="s">
        <v>97</v>
      </c>
      <c r="B178" s="6" t="s">
        <v>45</v>
      </c>
      <c r="C178" s="6" t="s">
        <v>18</v>
      </c>
      <c r="D178" s="6"/>
      <c r="E178" s="6" t="s">
        <v>62</v>
      </c>
      <c r="F178" s="6" t="s">
        <v>102</v>
      </c>
      <c r="G178" s="6" t="s">
        <v>85</v>
      </c>
      <c r="H178" s="6">
        <v>2022</v>
      </c>
      <c r="I178" s="7">
        <v>1232110</v>
      </c>
    </row>
    <row r="179" spans="1:9" x14ac:dyDescent="0.2">
      <c r="A179" s="6" t="s">
        <v>97</v>
      </c>
      <c r="B179" s="6" t="s">
        <v>86</v>
      </c>
      <c r="C179" s="6" t="s">
        <v>87</v>
      </c>
      <c r="D179" s="6" t="s">
        <v>86</v>
      </c>
      <c r="E179" s="6"/>
      <c r="F179" s="6" t="s">
        <v>100</v>
      </c>
      <c r="G179" s="6" t="s">
        <v>88</v>
      </c>
      <c r="H179" s="6">
        <v>2024</v>
      </c>
      <c r="I179" s="7">
        <v>70541750</v>
      </c>
    </row>
    <row r="180" spans="1:9" x14ac:dyDescent="0.2">
      <c r="A180" s="6" t="s">
        <v>97</v>
      </c>
      <c r="B180" s="6" t="s">
        <v>86</v>
      </c>
      <c r="C180" s="6" t="s">
        <v>87</v>
      </c>
      <c r="D180" s="6" t="s">
        <v>86</v>
      </c>
      <c r="E180" s="6"/>
      <c r="F180" s="6" t="s">
        <v>100</v>
      </c>
      <c r="G180" s="6" t="s">
        <v>88</v>
      </c>
      <c r="H180" s="6">
        <v>2023</v>
      </c>
      <c r="I180" s="7">
        <v>53359060</v>
      </c>
    </row>
    <row r="181" spans="1:9" x14ac:dyDescent="0.2">
      <c r="A181" s="6" t="s">
        <v>97</v>
      </c>
      <c r="B181" s="6" t="s">
        <v>86</v>
      </c>
      <c r="C181" s="6" t="s">
        <v>87</v>
      </c>
      <c r="D181" s="6" t="s">
        <v>86</v>
      </c>
      <c r="E181" s="6"/>
      <c r="F181" s="6" t="s">
        <v>100</v>
      </c>
      <c r="G181" s="6" t="s">
        <v>88</v>
      </c>
      <c r="H181" s="6">
        <v>2022</v>
      </c>
      <c r="I181" s="7">
        <v>48121180</v>
      </c>
    </row>
    <row r="182" spans="1:9" x14ac:dyDescent="0.2">
      <c r="A182" s="6" t="s">
        <v>97</v>
      </c>
      <c r="B182" s="6" t="s">
        <v>86</v>
      </c>
      <c r="C182" s="6" t="s">
        <v>87</v>
      </c>
      <c r="D182" s="6" t="s">
        <v>86</v>
      </c>
      <c r="E182" s="6"/>
      <c r="F182" s="6" t="s">
        <v>101</v>
      </c>
      <c r="G182" s="6" t="s">
        <v>89</v>
      </c>
      <c r="H182" s="6">
        <v>2024</v>
      </c>
      <c r="I182" s="7">
        <v>592340</v>
      </c>
    </row>
    <row r="183" spans="1:9" x14ac:dyDescent="0.2">
      <c r="A183" s="6" t="s">
        <v>97</v>
      </c>
      <c r="B183" s="6" t="s">
        <v>86</v>
      </c>
      <c r="C183" s="6" t="s">
        <v>87</v>
      </c>
      <c r="D183" s="6" t="s">
        <v>86</v>
      </c>
      <c r="E183" s="6"/>
      <c r="F183" s="6" t="s">
        <v>101</v>
      </c>
      <c r="G183" s="6" t="s">
        <v>89</v>
      </c>
      <c r="H183" s="6">
        <v>2023</v>
      </c>
      <c r="I183" s="7">
        <v>591950</v>
      </c>
    </row>
    <row r="184" spans="1:9" x14ac:dyDescent="0.2">
      <c r="A184" s="6" t="s">
        <v>97</v>
      </c>
      <c r="B184" s="6" t="s">
        <v>86</v>
      </c>
      <c r="C184" s="6" t="s">
        <v>87</v>
      </c>
      <c r="D184" s="6" t="s">
        <v>86</v>
      </c>
      <c r="E184" s="6"/>
      <c r="F184" s="6" t="s">
        <v>101</v>
      </c>
      <c r="G184" s="6" t="s">
        <v>89</v>
      </c>
      <c r="H184" s="6">
        <v>2022</v>
      </c>
      <c r="I184" s="7">
        <v>734790</v>
      </c>
    </row>
    <row r="185" spans="1:9" x14ac:dyDescent="0.2">
      <c r="A185" s="6" t="s">
        <v>97</v>
      </c>
      <c r="B185" s="6" t="s">
        <v>86</v>
      </c>
      <c r="C185" s="6" t="s">
        <v>87</v>
      </c>
      <c r="D185" s="6" t="s">
        <v>86</v>
      </c>
      <c r="E185" s="6"/>
      <c r="F185" s="6" t="s">
        <v>103</v>
      </c>
      <c r="G185" s="6" t="s">
        <v>90</v>
      </c>
      <c r="H185" s="6">
        <v>2024</v>
      </c>
      <c r="I185" s="7">
        <v>36565480</v>
      </c>
    </row>
    <row r="186" spans="1:9" x14ac:dyDescent="0.2">
      <c r="A186" s="6" t="s">
        <v>97</v>
      </c>
      <c r="B186" s="6" t="s">
        <v>86</v>
      </c>
      <c r="C186" s="6" t="s">
        <v>87</v>
      </c>
      <c r="D186" s="6" t="s">
        <v>86</v>
      </c>
      <c r="E186" s="6"/>
      <c r="F186" s="6" t="s">
        <v>103</v>
      </c>
      <c r="G186" s="6" t="s">
        <v>91</v>
      </c>
      <c r="H186" s="6">
        <v>2024</v>
      </c>
      <c r="I186" s="7">
        <v>101180</v>
      </c>
    </row>
    <row r="187" spans="1:9" x14ac:dyDescent="0.2">
      <c r="A187" s="6" t="s">
        <v>97</v>
      </c>
      <c r="B187" s="6" t="s">
        <v>86</v>
      </c>
      <c r="C187" s="6" t="s">
        <v>87</v>
      </c>
      <c r="D187" s="6" t="s">
        <v>86</v>
      </c>
      <c r="E187" s="6"/>
      <c r="F187" s="6" t="s">
        <v>103</v>
      </c>
      <c r="G187" s="6" t="s">
        <v>92</v>
      </c>
      <c r="H187" s="6">
        <v>2024</v>
      </c>
      <c r="I187" s="7">
        <v>157286490</v>
      </c>
    </row>
    <row r="188" spans="1:9" x14ac:dyDescent="0.2">
      <c r="A188" s="6" t="s">
        <v>97</v>
      </c>
      <c r="B188" s="6" t="s">
        <v>86</v>
      </c>
      <c r="C188" s="6" t="s">
        <v>87</v>
      </c>
      <c r="D188" s="6" t="s">
        <v>86</v>
      </c>
      <c r="E188" s="6"/>
      <c r="F188" s="6" t="s">
        <v>103</v>
      </c>
      <c r="G188" s="6" t="s">
        <v>93</v>
      </c>
      <c r="H188" s="6">
        <v>2024</v>
      </c>
      <c r="I188" s="7">
        <v>57457850</v>
      </c>
    </row>
    <row r="189" spans="1:9" x14ac:dyDescent="0.2">
      <c r="A189" s="6" t="s">
        <v>97</v>
      </c>
      <c r="B189" s="6" t="s">
        <v>86</v>
      </c>
      <c r="C189" s="6" t="s">
        <v>87</v>
      </c>
      <c r="D189" s="6" t="s">
        <v>86</v>
      </c>
      <c r="E189" s="6"/>
      <c r="F189" s="6" t="s">
        <v>103</v>
      </c>
      <c r="G189" s="6" t="s">
        <v>90</v>
      </c>
      <c r="H189" s="6">
        <v>2023</v>
      </c>
      <c r="I189" s="7">
        <v>27985940</v>
      </c>
    </row>
    <row r="190" spans="1:9" x14ac:dyDescent="0.2">
      <c r="A190" s="6" t="s">
        <v>97</v>
      </c>
      <c r="B190" s="6" t="s">
        <v>86</v>
      </c>
      <c r="C190" s="6" t="s">
        <v>87</v>
      </c>
      <c r="D190" s="6" t="s">
        <v>86</v>
      </c>
      <c r="E190" s="6"/>
      <c r="F190" s="6" t="s">
        <v>103</v>
      </c>
      <c r="G190" s="6" t="s">
        <v>92</v>
      </c>
      <c r="H190" s="6">
        <v>2023</v>
      </c>
      <c r="I190" s="7">
        <v>133499820</v>
      </c>
    </row>
    <row r="191" spans="1:9" x14ac:dyDescent="0.2">
      <c r="A191" s="6" t="s">
        <v>97</v>
      </c>
      <c r="B191" s="6" t="s">
        <v>86</v>
      </c>
      <c r="C191" s="6" t="s">
        <v>87</v>
      </c>
      <c r="D191" s="6" t="s">
        <v>86</v>
      </c>
      <c r="E191" s="6"/>
      <c r="F191" s="6" t="s">
        <v>103</v>
      </c>
      <c r="G191" s="6" t="s">
        <v>93</v>
      </c>
      <c r="H191" s="6">
        <v>2023</v>
      </c>
      <c r="I191" s="7">
        <v>51891980</v>
      </c>
    </row>
    <row r="192" spans="1:9" x14ac:dyDescent="0.2">
      <c r="A192" s="6" t="s">
        <v>97</v>
      </c>
      <c r="B192" s="6" t="s">
        <v>86</v>
      </c>
      <c r="C192" s="6" t="s">
        <v>87</v>
      </c>
      <c r="D192" s="6" t="s">
        <v>86</v>
      </c>
      <c r="E192" s="6"/>
      <c r="F192" s="6" t="s">
        <v>103</v>
      </c>
      <c r="G192" s="6" t="s">
        <v>90</v>
      </c>
      <c r="H192" s="6">
        <v>2022</v>
      </c>
      <c r="I192" s="7">
        <v>23423810</v>
      </c>
    </row>
    <row r="193" spans="1:9" x14ac:dyDescent="0.2">
      <c r="A193" s="6" t="s">
        <v>97</v>
      </c>
      <c r="B193" s="6" t="s">
        <v>86</v>
      </c>
      <c r="C193" s="6" t="s">
        <v>87</v>
      </c>
      <c r="D193" s="6" t="s">
        <v>86</v>
      </c>
      <c r="E193" s="6"/>
      <c r="F193" s="6" t="s">
        <v>103</v>
      </c>
      <c r="G193" s="6" t="s">
        <v>92</v>
      </c>
      <c r="H193" s="6">
        <v>2022</v>
      </c>
      <c r="I193" s="7">
        <v>135480870</v>
      </c>
    </row>
    <row r="194" spans="1:9" x14ac:dyDescent="0.2">
      <c r="A194" s="6" t="s">
        <v>97</v>
      </c>
      <c r="B194" s="6" t="s">
        <v>86</v>
      </c>
      <c r="C194" s="6" t="s">
        <v>87</v>
      </c>
      <c r="D194" s="6" t="s">
        <v>86</v>
      </c>
      <c r="E194" s="6"/>
      <c r="F194" s="6" t="s">
        <v>103</v>
      </c>
      <c r="G194" s="6" t="s">
        <v>93</v>
      </c>
      <c r="H194" s="6">
        <v>2022</v>
      </c>
      <c r="I194" s="7">
        <v>49375040</v>
      </c>
    </row>
    <row r="195" spans="1:9" x14ac:dyDescent="0.2">
      <c r="A195" s="6" t="s">
        <v>97</v>
      </c>
      <c r="B195" s="6" t="s">
        <v>86</v>
      </c>
      <c r="C195" s="6" t="s">
        <v>94</v>
      </c>
      <c r="D195" s="6" t="s">
        <v>86</v>
      </c>
      <c r="E195" s="6"/>
      <c r="F195" s="6" t="s">
        <v>103</v>
      </c>
      <c r="G195" s="6" t="s">
        <v>95</v>
      </c>
      <c r="H195" s="6">
        <v>2024</v>
      </c>
      <c r="I195" s="7">
        <v>12926590</v>
      </c>
    </row>
    <row r="196" spans="1:9" x14ac:dyDescent="0.2">
      <c r="A196" s="6" t="s">
        <v>97</v>
      </c>
      <c r="B196" s="6" t="s">
        <v>86</v>
      </c>
      <c r="C196" s="6" t="s">
        <v>94</v>
      </c>
      <c r="D196" s="6" t="s">
        <v>86</v>
      </c>
      <c r="E196" s="6"/>
      <c r="F196" s="6" t="s">
        <v>103</v>
      </c>
      <c r="G196" s="6" t="s">
        <v>96</v>
      </c>
      <c r="H196" s="6">
        <v>2024</v>
      </c>
      <c r="I196" s="7">
        <v>15220</v>
      </c>
    </row>
    <row r="197" spans="1:9" x14ac:dyDescent="0.2">
      <c r="A197" s="6" t="s">
        <v>97</v>
      </c>
      <c r="B197" s="6" t="s">
        <v>86</v>
      </c>
      <c r="C197" s="6" t="s">
        <v>94</v>
      </c>
      <c r="D197" s="6" t="s">
        <v>86</v>
      </c>
      <c r="E197" s="6"/>
      <c r="F197" s="6" t="s">
        <v>103</v>
      </c>
      <c r="G197" s="6" t="s">
        <v>95</v>
      </c>
      <c r="H197" s="6">
        <v>2023</v>
      </c>
      <c r="I197" s="7">
        <v>2558960</v>
      </c>
    </row>
    <row r="198" spans="1:9" x14ac:dyDescent="0.2">
      <c r="A198" s="6" t="s">
        <v>97</v>
      </c>
      <c r="B198" s="6" t="s">
        <v>86</v>
      </c>
      <c r="C198" s="6" t="s">
        <v>94</v>
      </c>
      <c r="D198" s="6" t="s">
        <v>86</v>
      </c>
      <c r="E198" s="6"/>
      <c r="F198" s="6" t="s">
        <v>103</v>
      </c>
      <c r="G198" s="6" t="s">
        <v>96</v>
      </c>
      <c r="H198" s="6">
        <v>2023</v>
      </c>
      <c r="I198" s="7">
        <v>366610</v>
      </c>
    </row>
    <row r="199" spans="1:9" x14ac:dyDescent="0.2">
      <c r="A199" s="6" t="s">
        <v>97</v>
      </c>
      <c r="B199" s="6" t="s">
        <v>86</v>
      </c>
      <c r="C199" s="6" t="s">
        <v>94</v>
      </c>
      <c r="D199" s="6" t="s">
        <v>86</v>
      </c>
      <c r="E199" s="6"/>
      <c r="F199" s="6" t="s">
        <v>103</v>
      </c>
      <c r="G199" s="6" t="s">
        <v>95</v>
      </c>
      <c r="H199" s="6">
        <v>2022</v>
      </c>
      <c r="I199" s="7">
        <v>1469490</v>
      </c>
    </row>
    <row r="200" spans="1:9" x14ac:dyDescent="0.2">
      <c r="A200" s="6" t="s">
        <v>98</v>
      </c>
      <c r="B200" s="6" t="s">
        <v>8</v>
      </c>
      <c r="C200" s="6" t="s">
        <v>9</v>
      </c>
      <c r="D200" s="6"/>
      <c r="E200" s="6"/>
      <c r="F200" s="6" t="s">
        <v>100</v>
      </c>
      <c r="G200" s="6" t="s">
        <v>10</v>
      </c>
      <c r="H200" s="6">
        <v>2024</v>
      </c>
      <c r="I200" s="7">
        <v>67080</v>
      </c>
    </row>
    <row r="201" spans="1:9" x14ac:dyDescent="0.2">
      <c r="A201" s="6" t="s">
        <v>98</v>
      </c>
      <c r="B201" s="6" t="s">
        <v>8</v>
      </c>
      <c r="C201" s="6" t="s">
        <v>9</v>
      </c>
      <c r="D201" s="6"/>
      <c r="E201" s="6"/>
      <c r="F201" s="6" t="s">
        <v>100</v>
      </c>
      <c r="G201" s="6" t="s">
        <v>11</v>
      </c>
      <c r="H201" s="6">
        <v>2024</v>
      </c>
      <c r="I201" s="7">
        <v>9980</v>
      </c>
    </row>
    <row r="202" spans="1:9" x14ac:dyDescent="0.2">
      <c r="A202" s="6" t="s">
        <v>98</v>
      </c>
      <c r="B202" s="6" t="s">
        <v>8</v>
      </c>
      <c r="C202" s="6" t="s">
        <v>9</v>
      </c>
      <c r="D202" s="6"/>
      <c r="E202" s="6"/>
      <c r="F202" s="6" t="s">
        <v>100</v>
      </c>
      <c r="G202" s="6" t="s">
        <v>12</v>
      </c>
      <c r="H202" s="6">
        <v>2024</v>
      </c>
      <c r="I202" s="7">
        <v>130</v>
      </c>
    </row>
    <row r="203" spans="1:9" x14ac:dyDescent="0.2">
      <c r="A203" s="6" t="s">
        <v>98</v>
      </c>
      <c r="B203" s="6" t="s">
        <v>8</v>
      </c>
      <c r="C203" s="6" t="s">
        <v>9</v>
      </c>
      <c r="D203" s="6"/>
      <c r="E203" s="6"/>
      <c r="F203" s="6" t="s">
        <v>100</v>
      </c>
      <c r="G203" s="6" t="s">
        <v>10</v>
      </c>
      <c r="H203" s="6">
        <v>2023</v>
      </c>
      <c r="I203" s="7">
        <v>42950</v>
      </c>
    </row>
    <row r="204" spans="1:9" x14ac:dyDescent="0.2">
      <c r="A204" s="6" t="s">
        <v>98</v>
      </c>
      <c r="B204" s="6" t="s">
        <v>8</v>
      </c>
      <c r="C204" s="6" t="s">
        <v>9</v>
      </c>
      <c r="D204" s="6"/>
      <c r="E204" s="6"/>
      <c r="F204" s="6" t="s">
        <v>100</v>
      </c>
      <c r="G204" s="6" t="s">
        <v>11</v>
      </c>
      <c r="H204" s="6">
        <v>2023</v>
      </c>
      <c r="I204" s="7">
        <v>22410</v>
      </c>
    </row>
    <row r="205" spans="1:9" x14ac:dyDescent="0.2">
      <c r="A205" s="6" t="s">
        <v>98</v>
      </c>
      <c r="B205" s="6" t="s">
        <v>8</v>
      </c>
      <c r="C205" s="6" t="s">
        <v>9</v>
      </c>
      <c r="D205" s="6"/>
      <c r="E205" s="6"/>
      <c r="F205" s="6" t="s">
        <v>100</v>
      </c>
      <c r="G205" s="6" t="s">
        <v>12</v>
      </c>
      <c r="H205" s="6">
        <v>2023</v>
      </c>
      <c r="I205" s="7">
        <v>130</v>
      </c>
    </row>
    <row r="206" spans="1:9" x14ac:dyDescent="0.2">
      <c r="A206" s="6" t="s">
        <v>98</v>
      </c>
      <c r="B206" s="6" t="s">
        <v>8</v>
      </c>
      <c r="C206" s="6" t="s">
        <v>9</v>
      </c>
      <c r="D206" s="6"/>
      <c r="E206" s="6"/>
      <c r="F206" s="6" t="s">
        <v>100</v>
      </c>
      <c r="G206" s="6" t="s">
        <v>13</v>
      </c>
      <c r="H206" s="6">
        <v>2023</v>
      </c>
      <c r="I206" s="7">
        <v>20</v>
      </c>
    </row>
    <row r="207" spans="1:9" x14ac:dyDescent="0.2">
      <c r="A207" s="6" t="s">
        <v>98</v>
      </c>
      <c r="B207" s="6" t="s">
        <v>8</v>
      </c>
      <c r="C207" s="6" t="s">
        <v>9</v>
      </c>
      <c r="D207" s="6"/>
      <c r="E207" s="6"/>
      <c r="F207" s="6" t="s">
        <v>100</v>
      </c>
      <c r="G207" s="6" t="s">
        <v>10</v>
      </c>
      <c r="H207" s="6">
        <v>2022</v>
      </c>
      <c r="I207" s="7">
        <v>21310</v>
      </c>
    </row>
    <row r="208" spans="1:9" x14ac:dyDescent="0.2">
      <c r="A208" s="6" t="s">
        <v>98</v>
      </c>
      <c r="B208" s="6" t="s">
        <v>8</v>
      </c>
      <c r="C208" s="6" t="s">
        <v>9</v>
      </c>
      <c r="D208" s="6"/>
      <c r="E208" s="6"/>
      <c r="F208" s="6" t="s">
        <v>100</v>
      </c>
      <c r="G208" s="6" t="s">
        <v>11</v>
      </c>
      <c r="H208" s="6">
        <v>2022</v>
      </c>
      <c r="I208" s="7">
        <v>39130</v>
      </c>
    </row>
    <row r="209" spans="1:9" x14ac:dyDescent="0.2">
      <c r="A209" s="6" t="s">
        <v>98</v>
      </c>
      <c r="B209" s="6" t="s">
        <v>8</v>
      </c>
      <c r="C209" s="6" t="s">
        <v>9</v>
      </c>
      <c r="D209" s="6"/>
      <c r="E209" s="6"/>
      <c r="F209" s="6" t="s">
        <v>100</v>
      </c>
      <c r="G209" s="6" t="s">
        <v>12</v>
      </c>
      <c r="H209" s="6">
        <v>2022</v>
      </c>
      <c r="I209" s="7">
        <v>200</v>
      </c>
    </row>
    <row r="210" spans="1:9" x14ac:dyDescent="0.2">
      <c r="A210" s="6" t="s">
        <v>98</v>
      </c>
      <c r="B210" s="6" t="s">
        <v>8</v>
      </c>
      <c r="C210" s="6" t="s">
        <v>9</v>
      </c>
      <c r="D210" s="6"/>
      <c r="E210" s="6"/>
      <c r="F210" s="6" t="s">
        <v>100</v>
      </c>
      <c r="G210" s="6" t="s">
        <v>13</v>
      </c>
      <c r="H210" s="6">
        <v>2022</v>
      </c>
      <c r="I210" s="7">
        <v>150</v>
      </c>
    </row>
    <row r="211" spans="1:9" x14ac:dyDescent="0.2">
      <c r="A211" s="6" t="s">
        <v>98</v>
      </c>
      <c r="B211" s="6" t="s">
        <v>8</v>
      </c>
      <c r="C211" s="6" t="s">
        <v>9</v>
      </c>
      <c r="D211" s="6"/>
      <c r="E211" s="6"/>
      <c r="F211" s="6" t="s">
        <v>101</v>
      </c>
      <c r="G211" s="6" t="s">
        <v>14</v>
      </c>
      <c r="H211" s="6">
        <v>2024</v>
      </c>
      <c r="I211" s="7">
        <v>6340</v>
      </c>
    </row>
    <row r="212" spans="1:9" x14ac:dyDescent="0.2">
      <c r="A212" s="6" t="s">
        <v>98</v>
      </c>
      <c r="B212" s="6" t="s">
        <v>8</v>
      </c>
      <c r="C212" s="6" t="s">
        <v>9</v>
      </c>
      <c r="D212" s="6"/>
      <c r="E212" s="6"/>
      <c r="F212" s="6" t="s">
        <v>101</v>
      </c>
      <c r="G212" s="6" t="s">
        <v>14</v>
      </c>
      <c r="H212" s="6">
        <v>2023</v>
      </c>
      <c r="I212" s="7">
        <v>5320</v>
      </c>
    </row>
    <row r="213" spans="1:9" x14ac:dyDescent="0.2">
      <c r="A213" s="6" t="s">
        <v>98</v>
      </c>
      <c r="B213" s="6" t="s">
        <v>8</v>
      </c>
      <c r="C213" s="6" t="s">
        <v>9</v>
      </c>
      <c r="D213" s="6"/>
      <c r="E213" s="6"/>
      <c r="F213" s="6" t="s">
        <v>101</v>
      </c>
      <c r="G213" s="6" t="s">
        <v>14</v>
      </c>
      <c r="H213" s="6">
        <v>2022</v>
      </c>
      <c r="I213" s="7">
        <v>5040</v>
      </c>
    </row>
    <row r="214" spans="1:9" x14ac:dyDescent="0.2">
      <c r="A214" s="6" t="s">
        <v>98</v>
      </c>
      <c r="B214" s="6" t="s">
        <v>8</v>
      </c>
      <c r="C214" s="6" t="s">
        <v>9</v>
      </c>
      <c r="D214" s="6"/>
      <c r="E214" s="6"/>
      <c r="F214" s="6" t="s">
        <v>103</v>
      </c>
      <c r="G214" s="6" t="s">
        <v>15</v>
      </c>
      <c r="H214" s="6">
        <v>2024</v>
      </c>
      <c r="I214" s="7">
        <v>155040</v>
      </c>
    </row>
    <row r="215" spans="1:9" x14ac:dyDescent="0.2">
      <c r="A215" s="6" t="s">
        <v>98</v>
      </c>
      <c r="B215" s="6" t="s">
        <v>8</v>
      </c>
      <c r="C215" s="6" t="s">
        <v>9</v>
      </c>
      <c r="D215" s="6"/>
      <c r="E215" s="6"/>
      <c r="F215" s="6" t="s">
        <v>103</v>
      </c>
      <c r="G215" s="6" t="s">
        <v>15</v>
      </c>
      <c r="H215" s="6">
        <v>2023</v>
      </c>
      <c r="I215" s="7">
        <v>137460</v>
      </c>
    </row>
    <row r="216" spans="1:9" x14ac:dyDescent="0.2">
      <c r="A216" s="6" t="s">
        <v>98</v>
      </c>
      <c r="B216" s="6" t="s">
        <v>8</v>
      </c>
      <c r="C216" s="6" t="s">
        <v>9</v>
      </c>
      <c r="D216" s="6"/>
      <c r="E216" s="6"/>
      <c r="F216" s="6" t="s">
        <v>103</v>
      </c>
      <c r="G216" s="6" t="s">
        <v>15</v>
      </c>
      <c r="H216" s="6">
        <v>2022</v>
      </c>
      <c r="I216" s="7">
        <v>122370</v>
      </c>
    </row>
    <row r="217" spans="1:9" x14ac:dyDescent="0.2">
      <c r="A217" s="6" t="s">
        <v>98</v>
      </c>
      <c r="B217" s="6" t="s">
        <v>8</v>
      </c>
      <c r="C217" s="6" t="s">
        <v>9</v>
      </c>
      <c r="D217" s="6"/>
      <c r="E217" s="6"/>
      <c r="F217" s="6" t="s">
        <v>102</v>
      </c>
      <c r="G217" s="6" t="s">
        <v>16</v>
      </c>
      <c r="H217" s="6">
        <v>2024</v>
      </c>
      <c r="I217" s="7">
        <v>310</v>
      </c>
    </row>
    <row r="218" spans="1:9" x14ac:dyDescent="0.2">
      <c r="A218" s="6" t="s">
        <v>98</v>
      </c>
      <c r="B218" s="6" t="s">
        <v>17</v>
      </c>
      <c r="C218" s="6" t="s">
        <v>18</v>
      </c>
      <c r="D218" s="6" t="s">
        <v>19</v>
      </c>
      <c r="E218" s="6"/>
      <c r="F218" s="6" t="s">
        <v>100</v>
      </c>
      <c r="G218" s="6" t="s">
        <v>20</v>
      </c>
      <c r="H218" s="6">
        <v>2024</v>
      </c>
      <c r="I218" s="7">
        <v>130</v>
      </c>
    </row>
    <row r="219" spans="1:9" x14ac:dyDescent="0.2">
      <c r="A219" s="6" t="s">
        <v>98</v>
      </c>
      <c r="B219" s="6" t="s">
        <v>17</v>
      </c>
      <c r="C219" s="6" t="s">
        <v>18</v>
      </c>
      <c r="D219" s="6" t="s">
        <v>19</v>
      </c>
      <c r="E219" s="6"/>
      <c r="F219" s="6" t="s">
        <v>100</v>
      </c>
      <c r="G219" s="6" t="s">
        <v>21</v>
      </c>
      <c r="H219" s="6">
        <v>2024</v>
      </c>
      <c r="I219" s="7">
        <v>36550</v>
      </c>
    </row>
    <row r="220" spans="1:9" x14ac:dyDescent="0.2">
      <c r="A220" s="6" t="s">
        <v>98</v>
      </c>
      <c r="B220" s="6" t="s">
        <v>17</v>
      </c>
      <c r="C220" s="6" t="s">
        <v>18</v>
      </c>
      <c r="D220" s="6" t="s">
        <v>19</v>
      </c>
      <c r="E220" s="6"/>
      <c r="F220" s="6" t="s">
        <v>100</v>
      </c>
      <c r="G220" s="6" t="s">
        <v>22</v>
      </c>
      <c r="H220" s="6">
        <v>2023</v>
      </c>
      <c r="I220" s="7">
        <v>0</v>
      </c>
    </row>
    <row r="221" spans="1:9" x14ac:dyDescent="0.2">
      <c r="A221" s="6" t="s">
        <v>98</v>
      </c>
      <c r="B221" s="6" t="s">
        <v>17</v>
      </c>
      <c r="C221" s="6" t="s">
        <v>18</v>
      </c>
      <c r="D221" s="6" t="s">
        <v>19</v>
      </c>
      <c r="E221" s="6"/>
      <c r="F221" s="6" t="s">
        <v>100</v>
      </c>
      <c r="G221" s="6" t="s">
        <v>23</v>
      </c>
      <c r="H221" s="6">
        <v>2023</v>
      </c>
      <c r="I221" s="7">
        <v>20</v>
      </c>
    </row>
    <row r="222" spans="1:9" x14ac:dyDescent="0.2">
      <c r="A222" s="6" t="s">
        <v>98</v>
      </c>
      <c r="B222" s="6" t="s">
        <v>17</v>
      </c>
      <c r="C222" s="6" t="s">
        <v>18</v>
      </c>
      <c r="D222" s="6" t="s">
        <v>19</v>
      </c>
      <c r="E222" s="6"/>
      <c r="F222" s="6" t="s">
        <v>100</v>
      </c>
      <c r="G222" s="6" t="s">
        <v>21</v>
      </c>
      <c r="H222" s="6">
        <v>2023</v>
      </c>
      <c r="I222" s="7">
        <v>25790</v>
      </c>
    </row>
    <row r="223" spans="1:9" x14ac:dyDescent="0.2">
      <c r="A223" s="6" t="s">
        <v>98</v>
      </c>
      <c r="B223" s="6" t="s">
        <v>17</v>
      </c>
      <c r="C223" s="6" t="s">
        <v>18</v>
      </c>
      <c r="D223" s="6" t="s">
        <v>19</v>
      </c>
      <c r="E223" s="6"/>
      <c r="F223" s="6" t="s">
        <v>100</v>
      </c>
      <c r="G223" s="6" t="s">
        <v>22</v>
      </c>
      <c r="H223" s="6">
        <v>2022</v>
      </c>
      <c r="I223" s="7">
        <v>0</v>
      </c>
    </row>
    <row r="224" spans="1:9" x14ac:dyDescent="0.2">
      <c r="A224" s="6" t="s">
        <v>98</v>
      </c>
      <c r="B224" s="6" t="s">
        <v>17</v>
      </c>
      <c r="C224" s="6" t="s">
        <v>18</v>
      </c>
      <c r="D224" s="6" t="s">
        <v>19</v>
      </c>
      <c r="E224" s="6"/>
      <c r="F224" s="6" t="s">
        <v>100</v>
      </c>
      <c r="G224" s="6" t="s">
        <v>23</v>
      </c>
      <c r="H224" s="6">
        <v>2022</v>
      </c>
      <c r="I224" s="7">
        <v>60</v>
      </c>
    </row>
    <row r="225" spans="1:9" x14ac:dyDescent="0.2">
      <c r="A225" s="6" t="s">
        <v>98</v>
      </c>
      <c r="B225" s="6" t="s">
        <v>17</v>
      </c>
      <c r="C225" s="6" t="s">
        <v>18</v>
      </c>
      <c r="D225" s="6" t="s">
        <v>19</v>
      </c>
      <c r="E225" s="6"/>
      <c r="F225" s="6" t="s">
        <v>100</v>
      </c>
      <c r="G225" s="6" t="s">
        <v>21</v>
      </c>
      <c r="H225" s="6">
        <v>2022</v>
      </c>
      <c r="I225" s="7">
        <v>22050</v>
      </c>
    </row>
    <row r="226" spans="1:9" x14ac:dyDescent="0.2">
      <c r="A226" s="6" t="s">
        <v>98</v>
      </c>
      <c r="B226" s="6" t="s">
        <v>17</v>
      </c>
      <c r="C226" s="6" t="s">
        <v>18</v>
      </c>
      <c r="D226" s="6" t="s">
        <v>19</v>
      </c>
      <c r="E226" s="6"/>
      <c r="F226" s="6" t="s">
        <v>101</v>
      </c>
      <c r="G226" s="6" t="s">
        <v>24</v>
      </c>
      <c r="H226" s="6">
        <v>2024</v>
      </c>
      <c r="I226" s="7">
        <v>3590</v>
      </c>
    </row>
    <row r="227" spans="1:9" x14ac:dyDescent="0.2">
      <c r="A227" s="6" t="s">
        <v>98</v>
      </c>
      <c r="B227" s="6" t="s">
        <v>17</v>
      </c>
      <c r="C227" s="6" t="s">
        <v>18</v>
      </c>
      <c r="D227" s="6" t="s">
        <v>19</v>
      </c>
      <c r="E227" s="6"/>
      <c r="F227" s="6" t="s">
        <v>101</v>
      </c>
      <c r="G227" s="6" t="s">
        <v>24</v>
      </c>
      <c r="H227" s="6">
        <v>2023</v>
      </c>
      <c r="I227" s="7">
        <v>3560</v>
      </c>
    </row>
    <row r="228" spans="1:9" x14ac:dyDescent="0.2">
      <c r="A228" s="6" t="s">
        <v>98</v>
      </c>
      <c r="B228" s="6" t="s">
        <v>17</v>
      </c>
      <c r="C228" s="6" t="s">
        <v>18</v>
      </c>
      <c r="D228" s="6" t="s">
        <v>19</v>
      </c>
      <c r="E228" s="6"/>
      <c r="F228" s="6" t="s">
        <v>101</v>
      </c>
      <c r="G228" s="6" t="s">
        <v>24</v>
      </c>
      <c r="H228" s="6">
        <v>2022</v>
      </c>
      <c r="I228" s="7">
        <v>3150</v>
      </c>
    </row>
    <row r="229" spans="1:9" x14ac:dyDescent="0.2">
      <c r="A229" s="6" t="s">
        <v>98</v>
      </c>
      <c r="B229" s="6" t="s">
        <v>17</v>
      </c>
      <c r="C229" s="6" t="s">
        <v>18</v>
      </c>
      <c r="D229" s="6" t="s">
        <v>19</v>
      </c>
      <c r="E229" s="6"/>
      <c r="F229" s="6" t="s">
        <v>101</v>
      </c>
      <c r="G229" s="6" t="s">
        <v>25</v>
      </c>
      <c r="H229" s="6">
        <v>2022</v>
      </c>
      <c r="I229" s="7">
        <v>20</v>
      </c>
    </row>
    <row r="230" spans="1:9" x14ac:dyDescent="0.2">
      <c r="A230" s="6" t="s">
        <v>98</v>
      </c>
      <c r="B230" s="6" t="s">
        <v>17</v>
      </c>
      <c r="C230" s="6" t="s">
        <v>18</v>
      </c>
      <c r="D230" s="6" t="s">
        <v>19</v>
      </c>
      <c r="E230" s="6"/>
      <c r="F230" s="6" t="s">
        <v>103</v>
      </c>
      <c r="G230" s="6" t="s">
        <v>26</v>
      </c>
      <c r="H230" s="6">
        <v>2024</v>
      </c>
      <c r="I230" s="7">
        <v>24510</v>
      </c>
    </row>
    <row r="231" spans="1:9" x14ac:dyDescent="0.2">
      <c r="A231" s="6" t="s">
        <v>98</v>
      </c>
      <c r="B231" s="6" t="s">
        <v>17</v>
      </c>
      <c r="C231" s="6" t="s">
        <v>18</v>
      </c>
      <c r="D231" s="6" t="s">
        <v>19</v>
      </c>
      <c r="E231" s="6"/>
      <c r="F231" s="6" t="s">
        <v>103</v>
      </c>
      <c r="G231" s="6" t="s">
        <v>27</v>
      </c>
      <c r="H231" s="6">
        <v>2024</v>
      </c>
      <c r="I231" s="7">
        <v>8450</v>
      </c>
    </row>
    <row r="232" spans="1:9" x14ac:dyDescent="0.2">
      <c r="A232" s="6" t="s">
        <v>98</v>
      </c>
      <c r="B232" s="6" t="s">
        <v>17</v>
      </c>
      <c r="C232" s="6" t="s">
        <v>18</v>
      </c>
      <c r="D232" s="6" t="s">
        <v>19</v>
      </c>
      <c r="E232" s="6"/>
      <c r="F232" s="6" t="s">
        <v>103</v>
      </c>
      <c r="G232" s="6" t="s">
        <v>28</v>
      </c>
      <c r="H232" s="6">
        <v>2024</v>
      </c>
      <c r="I232" s="7">
        <v>74340</v>
      </c>
    </row>
    <row r="233" spans="1:9" x14ac:dyDescent="0.2">
      <c r="A233" s="6" t="s">
        <v>98</v>
      </c>
      <c r="B233" s="6" t="s">
        <v>17</v>
      </c>
      <c r="C233" s="6" t="s">
        <v>18</v>
      </c>
      <c r="D233" s="6" t="s">
        <v>19</v>
      </c>
      <c r="E233" s="6"/>
      <c r="F233" s="6" t="s">
        <v>103</v>
      </c>
      <c r="G233" s="6" t="s">
        <v>29</v>
      </c>
      <c r="H233" s="6">
        <v>2024</v>
      </c>
      <c r="I233" s="7">
        <v>49350</v>
      </c>
    </row>
    <row r="234" spans="1:9" x14ac:dyDescent="0.2">
      <c r="A234" s="6" t="s">
        <v>98</v>
      </c>
      <c r="B234" s="6" t="s">
        <v>17</v>
      </c>
      <c r="C234" s="6" t="s">
        <v>18</v>
      </c>
      <c r="D234" s="6" t="s">
        <v>19</v>
      </c>
      <c r="E234" s="6"/>
      <c r="F234" s="6" t="s">
        <v>103</v>
      </c>
      <c r="G234" s="6" t="s">
        <v>26</v>
      </c>
      <c r="H234" s="6">
        <v>2023</v>
      </c>
      <c r="I234" s="7">
        <v>32090</v>
      </c>
    </row>
    <row r="235" spans="1:9" x14ac:dyDescent="0.2">
      <c r="A235" s="6" t="s">
        <v>98</v>
      </c>
      <c r="B235" s="6" t="s">
        <v>17</v>
      </c>
      <c r="C235" s="6" t="s">
        <v>18</v>
      </c>
      <c r="D235" s="6" t="s">
        <v>19</v>
      </c>
      <c r="E235" s="6"/>
      <c r="F235" s="6" t="s">
        <v>103</v>
      </c>
      <c r="G235" s="6" t="s">
        <v>27</v>
      </c>
      <c r="H235" s="6">
        <v>2023</v>
      </c>
      <c r="I235" s="7">
        <v>5960</v>
      </c>
    </row>
    <row r="236" spans="1:9" x14ac:dyDescent="0.2">
      <c r="A236" s="6" t="s">
        <v>98</v>
      </c>
      <c r="B236" s="6" t="s">
        <v>17</v>
      </c>
      <c r="C236" s="6" t="s">
        <v>18</v>
      </c>
      <c r="D236" s="6" t="s">
        <v>19</v>
      </c>
      <c r="E236" s="6"/>
      <c r="F236" s="6" t="s">
        <v>103</v>
      </c>
      <c r="G236" s="6" t="s">
        <v>28</v>
      </c>
      <c r="H236" s="6">
        <v>2023</v>
      </c>
      <c r="I236" s="7">
        <v>54640</v>
      </c>
    </row>
    <row r="237" spans="1:9" x14ac:dyDescent="0.2">
      <c r="A237" s="6" t="s">
        <v>98</v>
      </c>
      <c r="B237" s="6" t="s">
        <v>17</v>
      </c>
      <c r="C237" s="6" t="s">
        <v>18</v>
      </c>
      <c r="D237" s="6" t="s">
        <v>19</v>
      </c>
      <c r="E237" s="6"/>
      <c r="F237" s="6" t="s">
        <v>103</v>
      </c>
      <c r="G237" s="6" t="s">
        <v>29</v>
      </c>
      <c r="H237" s="6">
        <v>2023</v>
      </c>
      <c r="I237" s="7">
        <v>41490</v>
      </c>
    </row>
    <row r="238" spans="1:9" x14ac:dyDescent="0.2">
      <c r="A238" s="6" t="s">
        <v>98</v>
      </c>
      <c r="B238" s="6" t="s">
        <v>17</v>
      </c>
      <c r="C238" s="6" t="s">
        <v>18</v>
      </c>
      <c r="D238" s="6" t="s">
        <v>19</v>
      </c>
      <c r="E238" s="6"/>
      <c r="F238" s="6" t="s">
        <v>103</v>
      </c>
      <c r="G238" s="6" t="s">
        <v>26</v>
      </c>
      <c r="H238" s="6">
        <v>2022</v>
      </c>
      <c r="I238" s="7">
        <v>57920</v>
      </c>
    </row>
    <row r="239" spans="1:9" x14ac:dyDescent="0.2">
      <c r="A239" s="6" t="s">
        <v>98</v>
      </c>
      <c r="B239" s="6" t="s">
        <v>17</v>
      </c>
      <c r="C239" s="6" t="s">
        <v>18</v>
      </c>
      <c r="D239" s="6" t="s">
        <v>19</v>
      </c>
      <c r="E239" s="6"/>
      <c r="F239" s="6" t="s">
        <v>103</v>
      </c>
      <c r="G239" s="6" t="s">
        <v>27</v>
      </c>
      <c r="H239" s="6">
        <v>2022</v>
      </c>
      <c r="I239" s="7">
        <v>320</v>
      </c>
    </row>
    <row r="240" spans="1:9" x14ac:dyDescent="0.2">
      <c r="A240" s="6" t="s">
        <v>98</v>
      </c>
      <c r="B240" s="6" t="s">
        <v>17</v>
      </c>
      <c r="C240" s="6" t="s">
        <v>18</v>
      </c>
      <c r="D240" s="6" t="s">
        <v>19</v>
      </c>
      <c r="E240" s="6"/>
      <c r="F240" s="6" t="s">
        <v>103</v>
      </c>
      <c r="G240" s="6" t="s">
        <v>28</v>
      </c>
      <c r="H240" s="6">
        <v>2022</v>
      </c>
      <c r="I240" s="7">
        <v>16500</v>
      </c>
    </row>
    <row r="241" spans="1:9" x14ac:dyDescent="0.2">
      <c r="A241" s="6" t="s">
        <v>98</v>
      </c>
      <c r="B241" s="6" t="s">
        <v>17</v>
      </c>
      <c r="C241" s="6" t="s">
        <v>18</v>
      </c>
      <c r="D241" s="6" t="s">
        <v>19</v>
      </c>
      <c r="E241" s="6"/>
      <c r="F241" s="6" t="s">
        <v>103</v>
      </c>
      <c r="G241" s="6" t="s">
        <v>29</v>
      </c>
      <c r="H241" s="6">
        <v>2022</v>
      </c>
      <c r="I241" s="7">
        <v>32600</v>
      </c>
    </row>
    <row r="242" spans="1:9" x14ac:dyDescent="0.2">
      <c r="A242" s="6" t="s">
        <v>98</v>
      </c>
      <c r="B242" s="6" t="s">
        <v>17</v>
      </c>
      <c r="C242" s="6" t="s">
        <v>18</v>
      </c>
      <c r="D242" s="6" t="s">
        <v>30</v>
      </c>
      <c r="E242" s="6"/>
      <c r="F242" s="6" t="s">
        <v>100</v>
      </c>
      <c r="G242" s="6" t="s">
        <v>31</v>
      </c>
      <c r="H242" s="6">
        <v>2024</v>
      </c>
      <c r="I242" s="7">
        <v>140</v>
      </c>
    </row>
    <row r="243" spans="1:9" x14ac:dyDescent="0.2">
      <c r="A243" s="6" t="s">
        <v>98</v>
      </c>
      <c r="B243" s="6" t="s">
        <v>17</v>
      </c>
      <c r="C243" s="6" t="s">
        <v>18</v>
      </c>
      <c r="D243" s="6" t="s">
        <v>30</v>
      </c>
      <c r="E243" s="6"/>
      <c r="F243" s="6" t="s">
        <v>100</v>
      </c>
      <c r="G243" s="6" t="s">
        <v>32</v>
      </c>
      <c r="H243" s="6">
        <v>2024</v>
      </c>
      <c r="I243" s="7">
        <v>0</v>
      </c>
    </row>
    <row r="244" spans="1:9" x14ac:dyDescent="0.2">
      <c r="A244" s="6" t="s">
        <v>98</v>
      </c>
      <c r="B244" s="6" t="s">
        <v>17</v>
      </c>
      <c r="C244" s="6" t="s">
        <v>18</v>
      </c>
      <c r="D244" s="6" t="s">
        <v>30</v>
      </c>
      <c r="E244" s="6"/>
      <c r="F244" s="6" t="s">
        <v>100</v>
      </c>
      <c r="G244" s="6" t="s">
        <v>33</v>
      </c>
      <c r="H244" s="6">
        <v>2024</v>
      </c>
      <c r="I244" s="7">
        <v>660</v>
      </c>
    </row>
    <row r="245" spans="1:9" x14ac:dyDescent="0.2">
      <c r="A245" s="6" t="s">
        <v>98</v>
      </c>
      <c r="B245" s="6" t="s">
        <v>17</v>
      </c>
      <c r="C245" s="6" t="s">
        <v>18</v>
      </c>
      <c r="D245" s="6" t="s">
        <v>30</v>
      </c>
      <c r="E245" s="6"/>
      <c r="F245" s="6" t="s">
        <v>100</v>
      </c>
      <c r="G245" s="6" t="s">
        <v>34</v>
      </c>
      <c r="H245" s="6">
        <v>2024</v>
      </c>
      <c r="I245" s="7">
        <v>1540</v>
      </c>
    </row>
    <row r="246" spans="1:9" x14ac:dyDescent="0.2">
      <c r="A246" s="6" t="s">
        <v>98</v>
      </c>
      <c r="B246" s="6" t="s">
        <v>17</v>
      </c>
      <c r="C246" s="6" t="s">
        <v>18</v>
      </c>
      <c r="D246" s="6" t="s">
        <v>30</v>
      </c>
      <c r="E246" s="6"/>
      <c r="F246" s="6" t="s">
        <v>100</v>
      </c>
      <c r="G246" s="6" t="s">
        <v>35</v>
      </c>
      <c r="H246" s="6">
        <v>2024</v>
      </c>
      <c r="I246" s="7">
        <v>1070</v>
      </c>
    </row>
    <row r="247" spans="1:9" x14ac:dyDescent="0.2">
      <c r="A247" s="6" t="s">
        <v>98</v>
      </c>
      <c r="B247" s="6" t="s">
        <v>17</v>
      </c>
      <c r="C247" s="6" t="s">
        <v>18</v>
      </c>
      <c r="D247" s="6" t="s">
        <v>30</v>
      </c>
      <c r="E247" s="6"/>
      <c r="F247" s="6" t="s">
        <v>100</v>
      </c>
      <c r="G247" s="6" t="s">
        <v>31</v>
      </c>
      <c r="H247" s="6">
        <v>2023</v>
      </c>
      <c r="I247" s="7">
        <v>300</v>
      </c>
    </row>
    <row r="248" spans="1:9" x14ac:dyDescent="0.2">
      <c r="A248" s="6" t="s">
        <v>98</v>
      </c>
      <c r="B248" s="6" t="s">
        <v>17</v>
      </c>
      <c r="C248" s="6" t="s">
        <v>18</v>
      </c>
      <c r="D248" s="6" t="s">
        <v>30</v>
      </c>
      <c r="E248" s="6"/>
      <c r="F248" s="6" t="s">
        <v>100</v>
      </c>
      <c r="G248" s="6" t="s">
        <v>32</v>
      </c>
      <c r="H248" s="6">
        <v>2023</v>
      </c>
      <c r="I248" s="7">
        <v>0</v>
      </c>
    </row>
    <row r="249" spans="1:9" x14ac:dyDescent="0.2">
      <c r="A249" s="6" t="s">
        <v>98</v>
      </c>
      <c r="B249" s="6" t="s">
        <v>17</v>
      </c>
      <c r="C249" s="6" t="s">
        <v>18</v>
      </c>
      <c r="D249" s="6" t="s">
        <v>30</v>
      </c>
      <c r="E249" s="6"/>
      <c r="F249" s="6" t="s">
        <v>100</v>
      </c>
      <c r="G249" s="6" t="s">
        <v>36</v>
      </c>
      <c r="H249" s="6">
        <v>2023</v>
      </c>
      <c r="I249" s="7">
        <v>30</v>
      </c>
    </row>
    <row r="250" spans="1:9" x14ac:dyDescent="0.2">
      <c r="A250" s="6" t="s">
        <v>98</v>
      </c>
      <c r="B250" s="6" t="s">
        <v>17</v>
      </c>
      <c r="C250" s="6" t="s">
        <v>18</v>
      </c>
      <c r="D250" s="6" t="s">
        <v>30</v>
      </c>
      <c r="E250" s="6"/>
      <c r="F250" s="6" t="s">
        <v>100</v>
      </c>
      <c r="G250" s="6" t="s">
        <v>33</v>
      </c>
      <c r="H250" s="6">
        <v>2023</v>
      </c>
      <c r="I250" s="7">
        <v>240</v>
      </c>
    </row>
    <row r="251" spans="1:9" x14ac:dyDescent="0.2">
      <c r="A251" s="6" t="s">
        <v>98</v>
      </c>
      <c r="B251" s="6" t="s">
        <v>17</v>
      </c>
      <c r="C251" s="6" t="s">
        <v>18</v>
      </c>
      <c r="D251" s="6" t="s">
        <v>30</v>
      </c>
      <c r="E251" s="6"/>
      <c r="F251" s="6" t="s">
        <v>100</v>
      </c>
      <c r="G251" s="6" t="s">
        <v>34</v>
      </c>
      <c r="H251" s="6">
        <v>2023</v>
      </c>
      <c r="I251" s="7">
        <v>1180</v>
      </c>
    </row>
    <row r="252" spans="1:9" x14ac:dyDescent="0.2">
      <c r="A252" s="6" t="s">
        <v>98</v>
      </c>
      <c r="B252" s="6" t="s">
        <v>17</v>
      </c>
      <c r="C252" s="6" t="s">
        <v>18</v>
      </c>
      <c r="D252" s="6" t="s">
        <v>30</v>
      </c>
      <c r="E252" s="6"/>
      <c r="F252" s="6" t="s">
        <v>100</v>
      </c>
      <c r="G252" s="6" t="s">
        <v>35</v>
      </c>
      <c r="H252" s="6">
        <v>2023</v>
      </c>
      <c r="I252" s="7">
        <v>460</v>
      </c>
    </row>
    <row r="253" spans="1:9" x14ac:dyDescent="0.2">
      <c r="A253" s="6" t="s">
        <v>98</v>
      </c>
      <c r="B253" s="6" t="s">
        <v>17</v>
      </c>
      <c r="C253" s="6" t="s">
        <v>18</v>
      </c>
      <c r="D253" s="6" t="s">
        <v>30</v>
      </c>
      <c r="E253" s="6"/>
      <c r="F253" s="6" t="s">
        <v>100</v>
      </c>
      <c r="G253" s="6" t="s">
        <v>31</v>
      </c>
      <c r="H253" s="6">
        <v>2022</v>
      </c>
      <c r="I253" s="7">
        <v>860</v>
      </c>
    </row>
    <row r="254" spans="1:9" x14ac:dyDescent="0.2">
      <c r="A254" s="6" t="s">
        <v>98</v>
      </c>
      <c r="B254" s="6" t="s">
        <v>17</v>
      </c>
      <c r="C254" s="6" t="s">
        <v>18</v>
      </c>
      <c r="D254" s="6" t="s">
        <v>30</v>
      </c>
      <c r="E254" s="6"/>
      <c r="F254" s="6" t="s">
        <v>100</v>
      </c>
      <c r="G254" s="6" t="s">
        <v>32</v>
      </c>
      <c r="H254" s="6">
        <v>2022</v>
      </c>
      <c r="I254" s="7">
        <v>60</v>
      </c>
    </row>
    <row r="255" spans="1:9" x14ac:dyDescent="0.2">
      <c r="A255" s="6" t="s">
        <v>98</v>
      </c>
      <c r="B255" s="6" t="s">
        <v>17</v>
      </c>
      <c r="C255" s="6" t="s">
        <v>18</v>
      </c>
      <c r="D255" s="6" t="s">
        <v>30</v>
      </c>
      <c r="E255" s="6"/>
      <c r="F255" s="6" t="s">
        <v>100</v>
      </c>
      <c r="G255" s="6" t="s">
        <v>36</v>
      </c>
      <c r="H255" s="6">
        <v>2022</v>
      </c>
      <c r="I255" s="7">
        <v>130</v>
      </c>
    </row>
    <row r="256" spans="1:9" x14ac:dyDescent="0.2">
      <c r="A256" s="6" t="s">
        <v>98</v>
      </c>
      <c r="B256" s="6" t="s">
        <v>17</v>
      </c>
      <c r="C256" s="6" t="s">
        <v>18</v>
      </c>
      <c r="D256" s="6" t="s">
        <v>30</v>
      </c>
      <c r="E256" s="6"/>
      <c r="F256" s="6" t="s">
        <v>100</v>
      </c>
      <c r="G256" s="6" t="s">
        <v>33</v>
      </c>
      <c r="H256" s="6">
        <v>2022</v>
      </c>
      <c r="I256" s="7">
        <v>410</v>
      </c>
    </row>
    <row r="257" spans="1:9" x14ac:dyDescent="0.2">
      <c r="A257" s="6" t="s">
        <v>98</v>
      </c>
      <c r="B257" s="6" t="s">
        <v>17</v>
      </c>
      <c r="C257" s="6" t="s">
        <v>18</v>
      </c>
      <c r="D257" s="6" t="s">
        <v>30</v>
      </c>
      <c r="E257" s="6"/>
      <c r="F257" s="6" t="s">
        <v>100</v>
      </c>
      <c r="G257" s="6" t="s">
        <v>34</v>
      </c>
      <c r="H257" s="6">
        <v>2022</v>
      </c>
      <c r="I257" s="7">
        <v>1050</v>
      </c>
    </row>
    <row r="258" spans="1:9" x14ac:dyDescent="0.2">
      <c r="A258" s="6" t="s">
        <v>98</v>
      </c>
      <c r="B258" s="6" t="s">
        <v>17</v>
      </c>
      <c r="C258" s="6" t="s">
        <v>18</v>
      </c>
      <c r="D258" s="6" t="s">
        <v>30</v>
      </c>
      <c r="E258" s="6"/>
      <c r="F258" s="6" t="s">
        <v>100</v>
      </c>
      <c r="G258" s="6" t="s">
        <v>35</v>
      </c>
      <c r="H258" s="6">
        <v>2022</v>
      </c>
      <c r="I258" s="7">
        <v>500</v>
      </c>
    </row>
    <row r="259" spans="1:9" x14ac:dyDescent="0.2">
      <c r="A259" s="6" t="s">
        <v>98</v>
      </c>
      <c r="B259" s="6" t="s">
        <v>17</v>
      </c>
      <c r="C259" s="6" t="s">
        <v>18</v>
      </c>
      <c r="D259" s="6" t="s">
        <v>30</v>
      </c>
      <c r="E259" s="6"/>
      <c r="F259" s="6" t="s">
        <v>101</v>
      </c>
      <c r="G259" s="6" t="s">
        <v>37</v>
      </c>
      <c r="H259" s="6">
        <v>2024</v>
      </c>
      <c r="I259" s="7">
        <v>1680</v>
      </c>
    </row>
    <row r="260" spans="1:9" x14ac:dyDescent="0.2">
      <c r="A260" s="6" t="s">
        <v>98</v>
      </c>
      <c r="B260" s="6" t="s">
        <v>17</v>
      </c>
      <c r="C260" s="6" t="s">
        <v>18</v>
      </c>
      <c r="D260" s="6" t="s">
        <v>30</v>
      </c>
      <c r="E260" s="6"/>
      <c r="F260" s="6" t="s">
        <v>101</v>
      </c>
      <c r="G260" s="6" t="s">
        <v>37</v>
      </c>
      <c r="H260" s="6">
        <v>2023</v>
      </c>
      <c r="I260" s="7">
        <v>1530</v>
      </c>
    </row>
    <row r="261" spans="1:9" x14ac:dyDescent="0.2">
      <c r="A261" s="6" t="s">
        <v>98</v>
      </c>
      <c r="B261" s="6" t="s">
        <v>17</v>
      </c>
      <c r="C261" s="6" t="s">
        <v>18</v>
      </c>
      <c r="D261" s="6" t="s">
        <v>30</v>
      </c>
      <c r="E261" s="6"/>
      <c r="F261" s="6" t="s">
        <v>101</v>
      </c>
      <c r="G261" s="6" t="s">
        <v>37</v>
      </c>
      <c r="H261" s="6">
        <v>2022</v>
      </c>
      <c r="I261" s="7">
        <v>10</v>
      </c>
    </row>
    <row r="262" spans="1:9" x14ac:dyDescent="0.2">
      <c r="A262" s="6" t="s">
        <v>98</v>
      </c>
      <c r="B262" s="6" t="s">
        <v>17</v>
      </c>
      <c r="C262" s="6" t="s">
        <v>18</v>
      </c>
      <c r="D262" s="6" t="s">
        <v>30</v>
      </c>
      <c r="E262" s="6"/>
      <c r="F262" s="6" t="s">
        <v>103</v>
      </c>
      <c r="G262" s="6" t="s">
        <v>38</v>
      </c>
      <c r="H262" s="6">
        <v>2024</v>
      </c>
      <c r="I262" s="7">
        <v>250</v>
      </c>
    </row>
    <row r="263" spans="1:9" x14ac:dyDescent="0.2">
      <c r="A263" s="6" t="s">
        <v>98</v>
      </c>
      <c r="B263" s="6" t="s">
        <v>17</v>
      </c>
      <c r="C263" s="6" t="s">
        <v>18</v>
      </c>
      <c r="D263" s="6" t="s">
        <v>30</v>
      </c>
      <c r="E263" s="6"/>
      <c r="F263" s="6" t="s">
        <v>103</v>
      </c>
      <c r="G263" s="6" t="s">
        <v>39</v>
      </c>
      <c r="H263" s="6">
        <v>2024</v>
      </c>
      <c r="I263" s="7">
        <v>440</v>
      </c>
    </row>
    <row r="264" spans="1:9" x14ac:dyDescent="0.2">
      <c r="A264" s="6" t="s">
        <v>98</v>
      </c>
      <c r="B264" s="6" t="s">
        <v>17</v>
      </c>
      <c r="C264" s="6" t="s">
        <v>18</v>
      </c>
      <c r="D264" s="6" t="s">
        <v>30</v>
      </c>
      <c r="E264" s="6"/>
      <c r="F264" s="6" t="s">
        <v>103</v>
      </c>
      <c r="G264" s="6" t="s">
        <v>40</v>
      </c>
      <c r="H264" s="6">
        <v>2024</v>
      </c>
      <c r="I264" s="7">
        <v>390</v>
      </c>
    </row>
    <row r="265" spans="1:9" x14ac:dyDescent="0.2">
      <c r="A265" s="6" t="s">
        <v>98</v>
      </c>
      <c r="B265" s="6" t="s">
        <v>17</v>
      </c>
      <c r="C265" s="6" t="s">
        <v>18</v>
      </c>
      <c r="D265" s="6" t="s">
        <v>30</v>
      </c>
      <c r="E265" s="6"/>
      <c r="F265" s="6" t="s">
        <v>103</v>
      </c>
      <c r="G265" s="6" t="s">
        <v>41</v>
      </c>
      <c r="H265" s="6">
        <v>2024</v>
      </c>
      <c r="I265" s="7">
        <v>110</v>
      </c>
    </row>
    <row r="266" spans="1:9" x14ac:dyDescent="0.2">
      <c r="A266" s="6" t="s">
        <v>98</v>
      </c>
      <c r="B266" s="6" t="s">
        <v>17</v>
      </c>
      <c r="C266" s="6" t="s">
        <v>18</v>
      </c>
      <c r="D266" s="6" t="s">
        <v>30</v>
      </c>
      <c r="E266" s="6"/>
      <c r="F266" s="6" t="s">
        <v>103</v>
      </c>
      <c r="G266" s="6" t="s">
        <v>42</v>
      </c>
      <c r="H266" s="6">
        <v>2024</v>
      </c>
      <c r="I266" s="7">
        <v>2610</v>
      </c>
    </row>
    <row r="267" spans="1:9" x14ac:dyDescent="0.2">
      <c r="A267" s="6" t="s">
        <v>98</v>
      </c>
      <c r="B267" s="6" t="s">
        <v>17</v>
      </c>
      <c r="C267" s="6" t="s">
        <v>18</v>
      </c>
      <c r="D267" s="6" t="s">
        <v>30</v>
      </c>
      <c r="E267" s="6"/>
      <c r="F267" s="6" t="s">
        <v>103</v>
      </c>
      <c r="G267" s="6" t="s">
        <v>43</v>
      </c>
      <c r="H267" s="6">
        <v>2024</v>
      </c>
      <c r="I267" s="7">
        <v>50</v>
      </c>
    </row>
    <row r="268" spans="1:9" x14ac:dyDescent="0.2">
      <c r="A268" s="6" t="s">
        <v>98</v>
      </c>
      <c r="B268" s="6" t="s">
        <v>17</v>
      </c>
      <c r="C268" s="6" t="s">
        <v>18</v>
      </c>
      <c r="D268" s="6" t="s">
        <v>30</v>
      </c>
      <c r="E268" s="6"/>
      <c r="F268" s="6" t="s">
        <v>103</v>
      </c>
      <c r="G268" s="6" t="s">
        <v>38</v>
      </c>
      <c r="H268" s="6">
        <v>2023</v>
      </c>
      <c r="I268" s="7">
        <v>290</v>
      </c>
    </row>
    <row r="269" spans="1:9" x14ac:dyDescent="0.2">
      <c r="A269" s="6" t="s">
        <v>98</v>
      </c>
      <c r="B269" s="6" t="s">
        <v>17</v>
      </c>
      <c r="C269" s="6" t="s">
        <v>18</v>
      </c>
      <c r="D269" s="6" t="s">
        <v>30</v>
      </c>
      <c r="E269" s="6"/>
      <c r="F269" s="6" t="s">
        <v>103</v>
      </c>
      <c r="G269" s="6" t="s">
        <v>39</v>
      </c>
      <c r="H269" s="6">
        <v>2023</v>
      </c>
      <c r="I269" s="7">
        <v>600</v>
      </c>
    </row>
    <row r="270" spans="1:9" x14ac:dyDescent="0.2">
      <c r="A270" s="6" t="s">
        <v>98</v>
      </c>
      <c r="B270" s="6" t="s">
        <v>17</v>
      </c>
      <c r="C270" s="6" t="s">
        <v>18</v>
      </c>
      <c r="D270" s="6" t="s">
        <v>30</v>
      </c>
      <c r="E270" s="6"/>
      <c r="F270" s="6" t="s">
        <v>103</v>
      </c>
      <c r="G270" s="6" t="s">
        <v>40</v>
      </c>
      <c r="H270" s="6">
        <v>2023</v>
      </c>
      <c r="I270" s="7">
        <v>340</v>
      </c>
    </row>
    <row r="271" spans="1:9" x14ac:dyDescent="0.2">
      <c r="A271" s="6" t="s">
        <v>98</v>
      </c>
      <c r="B271" s="6" t="s">
        <v>17</v>
      </c>
      <c r="C271" s="6" t="s">
        <v>18</v>
      </c>
      <c r="D271" s="6" t="s">
        <v>30</v>
      </c>
      <c r="E271" s="6"/>
      <c r="F271" s="6" t="s">
        <v>103</v>
      </c>
      <c r="G271" s="6" t="s">
        <v>41</v>
      </c>
      <c r="H271" s="6">
        <v>2023</v>
      </c>
      <c r="I271" s="7">
        <v>230</v>
      </c>
    </row>
    <row r="272" spans="1:9" x14ac:dyDescent="0.2">
      <c r="A272" s="6" t="s">
        <v>98</v>
      </c>
      <c r="B272" s="6" t="s">
        <v>17</v>
      </c>
      <c r="C272" s="6" t="s">
        <v>18</v>
      </c>
      <c r="D272" s="6" t="s">
        <v>30</v>
      </c>
      <c r="E272" s="6"/>
      <c r="F272" s="6" t="s">
        <v>103</v>
      </c>
      <c r="G272" s="6" t="s">
        <v>42</v>
      </c>
      <c r="H272" s="6">
        <v>2023</v>
      </c>
      <c r="I272" s="7">
        <v>3460</v>
      </c>
    </row>
    <row r="273" spans="1:9" x14ac:dyDescent="0.2">
      <c r="A273" s="6" t="s">
        <v>98</v>
      </c>
      <c r="B273" s="6" t="s">
        <v>17</v>
      </c>
      <c r="C273" s="6" t="s">
        <v>18</v>
      </c>
      <c r="D273" s="6" t="s">
        <v>30</v>
      </c>
      <c r="E273" s="6"/>
      <c r="F273" s="6" t="s">
        <v>103</v>
      </c>
      <c r="G273" s="6" t="s">
        <v>43</v>
      </c>
      <c r="H273" s="6">
        <v>2023</v>
      </c>
      <c r="I273" s="7">
        <v>110</v>
      </c>
    </row>
    <row r="274" spans="1:9" x14ac:dyDescent="0.2">
      <c r="A274" s="6" t="s">
        <v>98</v>
      </c>
      <c r="B274" s="6" t="s">
        <v>17</v>
      </c>
      <c r="C274" s="6" t="s">
        <v>18</v>
      </c>
      <c r="D274" s="6" t="s">
        <v>30</v>
      </c>
      <c r="E274" s="6"/>
      <c r="F274" s="6" t="s">
        <v>103</v>
      </c>
      <c r="G274" s="6" t="s">
        <v>38</v>
      </c>
      <c r="H274" s="6">
        <v>2022</v>
      </c>
      <c r="I274" s="7">
        <v>290</v>
      </c>
    </row>
    <row r="275" spans="1:9" x14ac:dyDescent="0.2">
      <c r="A275" s="6" t="s">
        <v>98</v>
      </c>
      <c r="B275" s="6" t="s">
        <v>17</v>
      </c>
      <c r="C275" s="6" t="s">
        <v>18</v>
      </c>
      <c r="D275" s="6" t="s">
        <v>30</v>
      </c>
      <c r="E275" s="6"/>
      <c r="F275" s="6" t="s">
        <v>103</v>
      </c>
      <c r="G275" s="6" t="s">
        <v>39</v>
      </c>
      <c r="H275" s="6">
        <v>2022</v>
      </c>
      <c r="I275" s="7">
        <v>740</v>
      </c>
    </row>
    <row r="276" spans="1:9" x14ac:dyDescent="0.2">
      <c r="A276" s="6" t="s">
        <v>98</v>
      </c>
      <c r="B276" s="6" t="s">
        <v>17</v>
      </c>
      <c r="C276" s="6" t="s">
        <v>18</v>
      </c>
      <c r="D276" s="6" t="s">
        <v>30</v>
      </c>
      <c r="E276" s="6"/>
      <c r="F276" s="6" t="s">
        <v>103</v>
      </c>
      <c r="G276" s="6" t="s">
        <v>40</v>
      </c>
      <c r="H276" s="6">
        <v>2022</v>
      </c>
      <c r="I276" s="7">
        <v>40</v>
      </c>
    </row>
    <row r="277" spans="1:9" x14ac:dyDescent="0.2">
      <c r="A277" s="6" t="s">
        <v>98</v>
      </c>
      <c r="B277" s="6" t="s">
        <v>17</v>
      </c>
      <c r="C277" s="6" t="s">
        <v>18</v>
      </c>
      <c r="D277" s="6" t="s">
        <v>30</v>
      </c>
      <c r="E277" s="6"/>
      <c r="F277" s="6" t="s">
        <v>103</v>
      </c>
      <c r="G277" s="6" t="s">
        <v>41</v>
      </c>
      <c r="H277" s="6">
        <v>2022</v>
      </c>
      <c r="I277" s="7">
        <v>330</v>
      </c>
    </row>
    <row r="278" spans="1:9" x14ac:dyDescent="0.2">
      <c r="A278" s="6" t="s">
        <v>98</v>
      </c>
      <c r="B278" s="6" t="s">
        <v>17</v>
      </c>
      <c r="C278" s="6" t="s">
        <v>18</v>
      </c>
      <c r="D278" s="6" t="s">
        <v>30</v>
      </c>
      <c r="E278" s="6"/>
      <c r="F278" s="6" t="s">
        <v>103</v>
      </c>
      <c r="G278" s="6" t="s">
        <v>42</v>
      </c>
      <c r="H278" s="6">
        <v>2022</v>
      </c>
      <c r="I278" s="7">
        <v>5470</v>
      </c>
    </row>
    <row r="279" spans="1:9" x14ac:dyDescent="0.2">
      <c r="A279" s="6" t="s">
        <v>98</v>
      </c>
      <c r="B279" s="6" t="s">
        <v>17</v>
      </c>
      <c r="C279" s="6" t="s">
        <v>18</v>
      </c>
      <c r="D279" s="6" t="s">
        <v>30</v>
      </c>
      <c r="E279" s="6"/>
      <c r="F279" s="6" t="s">
        <v>103</v>
      </c>
      <c r="G279" s="6" t="s">
        <v>43</v>
      </c>
      <c r="H279" s="6">
        <v>2022</v>
      </c>
      <c r="I279" s="7">
        <v>130</v>
      </c>
    </row>
    <row r="280" spans="1:9" x14ac:dyDescent="0.2">
      <c r="A280" s="6" t="s">
        <v>98</v>
      </c>
      <c r="B280" s="6" t="s">
        <v>17</v>
      </c>
      <c r="C280" s="6" t="s">
        <v>18</v>
      </c>
      <c r="D280" s="6" t="s">
        <v>30</v>
      </c>
      <c r="E280" s="6"/>
      <c r="F280" s="6" t="s">
        <v>102</v>
      </c>
      <c r="G280" s="6" t="s">
        <v>44</v>
      </c>
      <c r="H280" s="6">
        <v>2024</v>
      </c>
      <c r="I280" s="7">
        <v>16480</v>
      </c>
    </row>
    <row r="281" spans="1:9" x14ac:dyDescent="0.2">
      <c r="A281" s="6" t="s">
        <v>98</v>
      </c>
      <c r="B281" s="6" t="s">
        <v>17</v>
      </c>
      <c r="C281" s="6" t="s">
        <v>18</v>
      </c>
      <c r="D281" s="6" t="s">
        <v>30</v>
      </c>
      <c r="E281" s="6"/>
      <c r="F281" s="6" t="s">
        <v>102</v>
      </c>
      <c r="G281" s="6" t="s">
        <v>44</v>
      </c>
      <c r="H281" s="6">
        <v>2023</v>
      </c>
      <c r="I281" s="7">
        <v>28540</v>
      </c>
    </row>
    <row r="282" spans="1:9" x14ac:dyDescent="0.2">
      <c r="A282" s="6" t="s">
        <v>98</v>
      </c>
      <c r="B282" s="6" t="s">
        <v>17</v>
      </c>
      <c r="C282" s="6" t="s">
        <v>18</v>
      </c>
      <c r="D282" s="6" t="s">
        <v>30</v>
      </c>
      <c r="E282" s="6"/>
      <c r="F282" s="6" t="s">
        <v>102</v>
      </c>
      <c r="G282" s="6" t="s">
        <v>44</v>
      </c>
      <c r="H282" s="6">
        <v>2022</v>
      </c>
      <c r="I282" s="7">
        <v>27530</v>
      </c>
    </row>
    <row r="283" spans="1:9" x14ac:dyDescent="0.2">
      <c r="A283" s="6" t="s">
        <v>98</v>
      </c>
      <c r="B283" s="6" t="s">
        <v>45</v>
      </c>
      <c r="C283" s="6" t="s">
        <v>18</v>
      </c>
      <c r="D283" s="6"/>
      <c r="E283" s="6" t="s">
        <v>46</v>
      </c>
      <c r="F283" s="6" t="s">
        <v>101</v>
      </c>
      <c r="G283" s="6" t="s">
        <v>47</v>
      </c>
      <c r="H283" s="6">
        <v>2024</v>
      </c>
      <c r="I283" s="7">
        <v>1690</v>
      </c>
    </row>
    <row r="284" spans="1:9" x14ac:dyDescent="0.2">
      <c r="A284" s="6" t="s">
        <v>98</v>
      </c>
      <c r="B284" s="6" t="s">
        <v>45</v>
      </c>
      <c r="C284" s="6" t="s">
        <v>18</v>
      </c>
      <c r="D284" s="6"/>
      <c r="E284" s="6" t="s">
        <v>46</v>
      </c>
      <c r="F284" s="6" t="s">
        <v>101</v>
      </c>
      <c r="G284" s="6" t="s">
        <v>48</v>
      </c>
      <c r="H284" s="6">
        <v>2024</v>
      </c>
      <c r="I284" s="7">
        <v>110</v>
      </c>
    </row>
    <row r="285" spans="1:9" x14ac:dyDescent="0.2">
      <c r="A285" s="6" t="s">
        <v>98</v>
      </c>
      <c r="B285" s="6" t="s">
        <v>45</v>
      </c>
      <c r="C285" s="6" t="s">
        <v>18</v>
      </c>
      <c r="D285" s="6"/>
      <c r="E285" s="6" t="s">
        <v>46</v>
      </c>
      <c r="F285" s="6" t="s">
        <v>101</v>
      </c>
      <c r="G285" s="6" t="s">
        <v>47</v>
      </c>
      <c r="H285" s="6">
        <v>2023</v>
      </c>
      <c r="I285" s="7">
        <v>1360</v>
      </c>
    </row>
    <row r="286" spans="1:9" x14ac:dyDescent="0.2">
      <c r="A286" s="6" t="s">
        <v>98</v>
      </c>
      <c r="B286" s="6" t="s">
        <v>45</v>
      </c>
      <c r="C286" s="6" t="s">
        <v>18</v>
      </c>
      <c r="D286" s="6"/>
      <c r="E286" s="6" t="s">
        <v>46</v>
      </c>
      <c r="F286" s="6" t="s">
        <v>101</v>
      </c>
      <c r="G286" s="6" t="s">
        <v>48</v>
      </c>
      <c r="H286" s="6">
        <v>2023</v>
      </c>
      <c r="I286" s="7">
        <v>250</v>
      </c>
    </row>
    <row r="287" spans="1:9" x14ac:dyDescent="0.2">
      <c r="A287" s="6" t="s">
        <v>98</v>
      </c>
      <c r="B287" s="6" t="s">
        <v>45</v>
      </c>
      <c r="C287" s="6" t="s">
        <v>18</v>
      </c>
      <c r="D287" s="6"/>
      <c r="E287" s="6" t="s">
        <v>46</v>
      </c>
      <c r="F287" s="6" t="s">
        <v>101</v>
      </c>
      <c r="G287" s="6" t="s">
        <v>47</v>
      </c>
      <c r="H287" s="6">
        <v>2022</v>
      </c>
      <c r="I287" s="7">
        <v>10</v>
      </c>
    </row>
    <row r="288" spans="1:9" x14ac:dyDescent="0.2">
      <c r="A288" s="6" t="s">
        <v>98</v>
      </c>
      <c r="B288" s="6" t="s">
        <v>45</v>
      </c>
      <c r="C288" s="6" t="s">
        <v>18</v>
      </c>
      <c r="D288" s="6"/>
      <c r="E288" s="6" t="s">
        <v>46</v>
      </c>
      <c r="F288" s="6" t="s">
        <v>101</v>
      </c>
      <c r="G288" s="6" t="s">
        <v>48</v>
      </c>
      <c r="H288" s="6">
        <v>2022</v>
      </c>
      <c r="I288" s="7">
        <v>20</v>
      </c>
    </row>
    <row r="289" spans="1:9" x14ac:dyDescent="0.2">
      <c r="A289" s="6" t="s">
        <v>98</v>
      </c>
      <c r="B289" s="6" t="s">
        <v>45</v>
      </c>
      <c r="C289" s="6" t="s">
        <v>18</v>
      </c>
      <c r="D289" s="6"/>
      <c r="E289" s="6" t="s">
        <v>46</v>
      </c>
      <c r="F289" s="6" t="s">
        <v>102</v>
      </c>
      <c r="G289" s="6" t="s">
        <v>49</v>
      </c>
      <c r="H289" s="6">
        <v>2024</v>
      </c>
      <c r="I289" s="7">
        <v>1950</v>
      </c>
    </row>
    <row r="290" spans="1:9" x14ac:dyDescent="0.2">
      <c r="A290" s="6" t="s">
        <v>98</v>
      </c>
      <c r="B290" s="6" t="s">
        <v>45</v>
      </c>
      <c r="C290" s="6" t="s">
        <v>18</v>
      </c>
      <c r="D290" s="6"/>
      <c r="E290" s="6" t="s">
        <v>46</v>
      </c>
      <c r="F290" s="6" t="s">
        <v>102</v>
      </c>
      <c r="G290" s="6" t="s">
        <v>50</v>
      </c>
      <c r="H290" s="6">
        <v>2024</v>
      </c>
      <c r="I290" s="7">
        <v>540</v>
      </c>
    </row>
    <row r="291" spans="1:9" x14ac:dyDescent="0.2">
      <c r="A291" s="6" t="s">
        <v>98</v>
      </c>
      <c r="B291" s="6" t="s">
        <v>45</v>
      </c>
      <c r="C291" s="6" t="s">
        <v>18</v>
      </c>
      <c r="D291" s="6"/>
      <c r="E291" s="6" t="s">
        <v>46</v>
      </c>
      <c r="F291" s="6" t="s">
        <v>102</v>
      </c>
      <c r="G291" s="6" t="s">
        <v>51</v>
      </c>
      <c r="H291" s="6">
        <v>2024</v>
      </c>
      <c r="I291" s="7">
        <v>340</v>
      </c>
    </row>
    <row r="292" spans="1:9" x14ac:dyDescent="0.2">
      <c r="A292" s="6" t="s">
        <v>98</v>
      </c>
      <c r="B292" s="6" t="s">
        <v>45</v>
      </c>
      <c r="C292" s="6" t="s">
        <v>18</v>
      </c>
      <c r="D292" s="6"/>
      <c r="E292" s="6" t="s">
        <v>46</v>
      </c>
      <c r="F292" s="6" t="s">
        <v>102</v>
      </c>
      <c r="G292" s="6" t="s">
        <v>52</v>
      </c>
      <c r="H292" s="6">
        <v>2024</v>
      </c>
      <c r="I292" s="7">
        <v>15470</v>
      </c>
    </row>
    <row r="293" spans="1:9" x14ac:dyDescent="0.2">
      <c r="A293" s="6" t="s">
        <v>98</v>
      </c>
      <c r="B293" s="6" t="s">
        <v>45</v>
      </c>
      <c r="C293" s="6" t="s">
        <v>18</v>
      </c>
      <c r="D293" s="6"/>
      <c r="E293" s="6" t="s">
        <v>46</v>
      </c>
      <c r="F293" s="6" t="s">
        <v>102</v>
      </c>
      <c r="G293" s="6" t="s">
        <v>53</v>
      </c>
      <c r="H293" s="6">
        <v>2024</v>
      </c>
      <c r="I293" s="7">
        <v>2430</v>
      </c>
    </row>
    <row r="294" spans="1:9" x14ac:dyDescent="0.2">
      <c r="A294" s="6" t="s">
        <v>98</v>
      </c>
      <c r="B294" s="6" t="s">
        <v>45</v>
      </c>
      <c r="C294" s="6" t="s">
        <v>18</v>
      </c>
      <c r="D294" s="6"/>
      <c r="E294" s="6" t="s">
        <v>46</v>
      </c>
      <c r="F294" s="6" t="s">
        <v>102</v>
      </c>
      <c r="G294" s="6" t="s">
        <v>49</v>
      </c>
      <c r="H294" s="6">
        <v>2023</v>
      </c>
      <c r="I294" s="7">
        <v>1890</v>
      </c>
    </row>
    <row r="295" spans="1:9" x14ac:dyDescent="0.2">
      <c r="A295" s="6" t="s">
        <v>98</v>
      </c>
      <c r="B295" s="6" t="s">
        <v>45</v>
      </c>
      <c r="C295" s="6" t="s">
        <v>18</v>
      </c>
      <c r="D295" s="6"/>
      <c r="E295" s="6" t="s">
        <v>46</v>
      </c>
      <c r="F295" s="6" t="s">
        <v>102</v>
      </c>
      <c r="G295" s="6" t="s">
        <v>50</v>
      </c>
      <c r="H295" s="6">
        <v>2023</v>
      </c>
      <c r="I295" s="7">
        <v>540</v>
      </c>
    </row>
    <row r="296" spans="1:9" x14ac:dyDescent="0.2">
      <c r="A296" s="6" t="s">
        <v>98</v>
      </c>
      <c r="B296" s="6" t="s">
        <v>45</v>
      </c>
      <c r="C296" s="6" t="s">
        <v>18</v>
      </c>
      <c r="D296" s="6"/>
      <c r="E296" s="6" t="s">
        <v>46</v>
      </c>
      <c r="F296" s="6" t="s">
        <v>102</v>
      </c>
      <c r="G296" s="6" t="s">
        <v>51</v>
      </c>
      <c r="H296" s="6">
        <v>2023</v>
      </c>
      <c r="I296" s="7">
        <v>620</v>
      </c>
    </row>
    <row r="297" spans="1:9" x14ac:dyDescent="0.2">
      <c r="A297" s="6" t="s">
        <v>98</v>
      </c>
      <c r="B297" s="6" t="s">
        <v>45</v>
      </c>
      <c r="C297" s="6" t="s">
        <v>18</v>
      </c>
      <c r="D297" s="6"/>
      <c r="E297" s="6" t="s">
        <v>46</v>
      </c>
      <c r="F297" s="6" t="s">
        <v>102</v>
      </c>
      <c r="G297" s="6" t="s">
        <v>52</v>
      </c>
      <c r="H297" s="6">
        <v>2023</v>
      </c>
      <c r="I297" s="7">
        <v>24980</v>
      </c>
    </row>
    <row r="298" spans="1:9" x14ac:dyDescent="0.2">
      <c r="A298" s="6" t="s">
        <v>98</v>
      </c>
      <c r="B298" s="6" t="s">
        <v>45</v>
      </c>
      <c r="C298" s="6" t="s">
        <v>18</v>
      </c>
      <c r="D298" s="6"/>
      <c r="E298" s="6" t="s">
        <v>46</v>
      </c>
      <c r="F298" s="6" t="s">
        <v>102</v>
      </c>
      <c r="G298" s="6" t="s">
        <v>53</v>
      </c>
      <c r="H298" s="6">
        <v>2023</v>
      </c>
      <c r="I298" s="7">
        <v>4730</v>
      </c>
    </row>
    <row r="299" spans="1:9" x14ac:dyDescent="0.2">
      <c r="A299" s="6" t="s">
        <v>98</v>
      </c>
      <c r="B299" s="6" t="s">
        <v>45</v>
      </c>
      <c r="C299" s="6" t="s">
        <v>18</v>
      </c>
      <c r="D299" s="6"/>
      <c r="E299" s="6" t="s">
        <v>46</v>
      </c>
      <c r="F299" s="6" t="s">
        <v>102</v>
      </c>
      <c r="G299" s="6" t="s">
        <v>54</v>
      </c>
      <c r="H299" s="6">
        <v>2023</v>
      </c>
      <c r="I299" s="7">
        <v>0</v>
      </c>
    </row>
    <row r="300" spans="1:9" x14ac:dyDescent="0.2">
      <c r="A300" s="6" t="s">
        <v>98</v>
      </c>
      <c r="B300" s="6" t="s">
        <v>45</v>
      </c>
      <c r="C300" s="6" t="s">
        <v>18</v>
      </c>
      <c r="D300" s="6"/>
      <c r="E300" s="6" t="s">
        <v>46</v>
      </c>
      <c r="F300" s="6" t="s">
        <v>102</v>
      </c>
      <c r="G300" s="6" t="s">
        <v>49</v>
      </c>
      <c r="H300" s="6">
        <v>2022</v>
      </c>
      <c r="I300" s="7">
        <v>500</v>
      </c>
    </row>
    <row r="301" spans="1:9" x14ac:dyDescent="0.2">
      <c r="A301" s="6" t="s">
        <v>98</v>
      </c>
      <c r="B301" s="6" t="s">
        <v>45</v>
      </c>
      <c r="C301" s="6" t="s">
        <v>18</v>
      </c>
      <c r="D301" s="6"/>
      <c r="E301" s="6" t="s">
        <v>46</v>
      </c>
      <c r="F301" s="6" t="s">
        <v>102</v>
      </c>
      <c r="G301" s="6" t="s">
        <v>50</v>
      </c>
      <c r="H301" s="6">
        <v>2022</v>
      </c>
      <c r="I301" s="7">
        <v>560</v>
      </c>
    </row>
    <row r="302" spans="1:9" x14ac:dyDescent="0.2">
      <c r="A302" s="6" t="s">
        <v>98</v>
      </c>
      <c r="B302" s="6" t="s">
        <v>45</v>
      </c>
      <c r="C302" s="6" t="s">
        <v>18</v>
      </c>
      <c r="D302" s="6"/>
      <c r="E302" s="6" t="s">
        <v>46</v>
      </c>
      <c r="F302" s="6" t="s">
        <v>102</v>
      </c>
      <c r="G302" s="6" t="s">
        <v>51</v>
      </c>
      <c r="H302" s="6">
        <v>2022</v>
      </c>
      <c r="I302" s="7">
        <v>1950</v>
      </c>
    </row>
    <row r="303" spans="1:9" x14ac:dyDescent="0.2">
      <c r="A303" s="6" t="s">
        <v>98</v>
      </c>
      <c r="B303" s="6" t="s">
        <v>45</v>
      </c>
      <c r="C303" s="6" t="s">
        <v>18</v>
      </c>
      <c r="D303" s="6"/>
      <c r="E303" s="6" t="s">
        <v>46</v>
      </c>
      <c r="F303" s="6" t="s">
        <v>102</v>
      </c>
      <c r="G303" s="6" t="s">
        <v>52</v>
      </c>
      <c r="H303" s="6">
        <v>2022</v>
      </c>
      <c r="I303" s="7">
        <v>21780</v>
      </c>
    </row>
    <row r="304" spans="1:9" x14ac:dyDescent="0.2">
      <c r="A304" s="6" t="s">
        <v>98</v>
      </c>
      <c r="B304" s="6" t="s">
        <v>45</v>
      </c>
      <c r="C304" s="6" t="s">
        <v>18</v>
      </c>
      <c r="D304" s="6"/>
      <c r="E304" s="6" t="s">
        <v>46</v>
      </c>
      <c r="F304" s="6" t="s">
        <v>102</v>
      </c>
      <c r="G304" s="6" t="s">
        <v>53</v>
      </c>
      <c r="H304" s="6">
        <v>2022</v>
      </c>
      <c r="I304" s="7">
        <v>6230</v>
      </c>
    </row>
    <row r="305" spans="1:9" x14ac:dyDescent="0.2">
      <c r="A305" s="6" t="s">
        <v>98</v>
      </c>
      <c r="B305" s="6" t="s">
        <v>45</v>
      </c>
      <c r="C305" s="6" t="s">
        <v>18</v>
      </c>
      <c r="D305" s="6"/>
      <c r="E305" s="6" t="s">
        <v>55</v>
      </c>
      <c r="F305" s="6" t="s">
        <v>101</v>
      </c>
      <c r="G305" s="6" t="s">
        <v>56</v>
      </c>
      <c r="H305" s="6">
        <v>2024</v>
      </c>
      <c r="I305" s="7">
        <v>580</v>
      </c>
    </row>
    <row r="306" spans="1:9" x14ac:dyDescent="0.2">
      <c r="A306" s="6" t="s">
        <v>98</v>
      </c>
      <c r="B306" s="6" t="s">
        <v>45</v>
      </c>
      <c r="C306" s="6" t="s">
        <v>18</v>
      </c>
      <c r="D306" s="6"/>
      <c r="E306" s="6" t="s">
        <v>55</v>
      </c>
      <c r="F306" s="6" t="s">
        <v>101</v>
      </c>
      <c r="G306" s="6" t="s">
        <v>57</v>
      </c>
      <c r="H306" s="6">
        <v>2024</v>
      </c>
      <c r="I306" s="7">
        <v>45240</v>
      </c>
    </row>
    <row r="307" spans="1:9" x14ac:dyDescent="0.2">
      <c r="A307" s="6" t="s">
        <v>98</v>
      </c>
      <c r="B307" s="6" t="s">
        <v>45</v>
      </c>
      <c r="C307" s="6" t="s">
        <v>18</v>
      </c>
      <c r="D307" s="6"/>
      <c r="E307" s="6" t="s">
        <v>55</v>
      </c>
      <c r="F307" s="6" t="s">
        <v>101</v>
      </c>
      <c r="G307" s="6" t="s">
        <v>58</v>
      </c>
      <c r="H307" s="6">
        <v>2024</v>
      </c>
      <c r="I307" s="7">
        <v>20</v>
      </c>
    </row>
    <row r="308" spans="1:9" x14ac:dyDescent="0.2">
      <c r="A308" s="6" t="s">
        <v>98</v>
      </c>
      <c r="B308" s="6" t="s">
        <v>45</v>
      </c>
      <c r="C308" s="6" t="s">
        <v>18</v>
      </c>
      <c r="D308" s="6"/>
      <c r="E308" s="6" t="s">
        <v>55</v>
      </c>
      <c r="F308" s="6" t="s">
        <v>101</v>
      </c>
      <c r="G308" s="6" t="s">
        <v>57</v>
      </c>
      <c r="H308" s="6">
        <v>2023</v>
      </c>
      <c r="I308" s="7">
        <v>30</v>
      </c>
    </row>
    <row r="309" spans="1:9" x14ac:dyDescent="0.2">
      <c r="A309" s="6" t="s">
        <v>98</v>
      </c>
      <c r="B309" s="6" t="s">
        <v>45</v>
      </c>
      <c r="C309" s="6" t="s">
        <v>18</v>
      </c>
      <c r="D309" s="6"/>
      <c r="E309" s="6" t="s">
        <v>55</v>
      </c>
      <c r="F309" s="6" t="s">
        <v>103</v>
      </c>
      <c r="G309" s="6" t="s">
        <v>59</v>
      </c>
      <c r="H309" s="6">
        <v>2024</v>
      </c>
      <c r="I309" s="7">
        <v>170</v>
      </c>
    </row>
    <row r="310" spans="1:9" x14ac:dyDescent="0.2">
      <c r="A310" s="6" t="s">
        <v>98</v>
      </c>
      <c r="B310" s="6" t="s">
        <v>45</v>
      </c>
      <c r="C310" s="6" t="s">
        <v>18</v>
      </c>
      <c r="D310" s="6"/>
      <c r="E310" s="6" t="s">
        <v>55</v>
      </c>
      <c r="F310" s="6" t="s">
        <v>102</v>
      </c>
      <c r="G310" s="6" t="s">
        <v>60</v>
      </c>
      <c r="H310" s="6">
        <v>2024</v>
      </c>
      <c r="I310" s="7">
        <v>220</v>
      </c>
    </row>
    <row r="311" spans="1:9" x14ac:dyDescent="0.2">
      <c r="A311" s="6" t="s">
        <v>98</v>
      </c>
      <c r="B311" s="6" t="s">
        <v>45</v>
      </c>
      <c r="C311" s="6" t="s">
        <v>18</v>
      </c>
      <c r="D311" s="6"/>
      <c r="E311" s="6" t="s">
        <v>55</v>
      </c>
      <c r="F311" s="6" t="s">
        <v>102</v>
      </c>
      <c r="G311" s="6" t="s">
        <v>61</v>
      </c>
      <c r="H311" s="6">
        <v>2024</v>
      </c>
      <c r="I311" s="7">
        <v>8660</v>
      </c>
    </row>
    <row r="312" spans="1:9" x14ac:dyDescent="0.2">
      <c r="A312" s="6" t="s">
        <v>98</v>
      </c>
      <c r="B312" s="6" t="s">
        <v>45</v>
      </c>
      <c r="C312" s="6" t="s">
        <v>18</v>
      </c>
      <c r="D312" s="6"/>
      <c r="E312" s="6" t="s">
        <v>62</v>
      </c>
      <c r="F312" s="6" t="s">
        <v>100</v>
      </c>
      <c r="G312" s="6" t="s">
        <v>63</v>
      </c>
      <c r="H312" s="6">
        <v>2024</v>
      </c>
      <c r="I312" s="7">
        <v>10</v>
      </c>
    </row>
    <row r="313" spans="1:9" x14ac:dyDescent="0.2">
      <c r="A313" s="6" t="s">
        <v>98</v>
      </c>
      <c r="B313" s="6" t="s">
        <v>45</v>
      </c>
      <c r="C313" s="6" t="s">
        <v>18</v>
      </c>
      <c r="D313" s="6"/>
      <c r="E313" s="6" t="s">
        <v>62</v>
      </c>
      <c r="F313" s="6" t="s">
        <v>100</v>
      </c>
      <c r="G313" s="6" t="s">
        <v>64</v>
      </c>
      <c r="H313" s="6">
        <v>2024</v>
      </c>
      <c r="I313" s="7">
        <v>28830</v>
      </c>
    </row>
    <row r="314" spans="1:9" x14ac:dyDescent="0.2">
      <c r="A314" s="6" t="s">
        <v>98</v>
      </c>
      <c r="B314" s="6" t="s">
        <v>45</v>
      </c>
      <c r="C314" s="6" t="s">
        <v>18</v>
      </c>
      <c r="D314" s="6"/>
      <c r="E314" s="6" t="s">
        <v>62</v>
      </c>
      <c r="F314" s="6" t="s">
        <v>100</v>
      </c>
      <c r="G314" s="6" t="s">
        <v>65</v>
      </c>
      <c r="H314" s="6">
        <v>2024</v>
      </c>
      <c r="I314" s="7">
        <v>13810</v>
      </c>
    </row>
    <row r="315" spans="1:9" x14ac:dyDescent="0.2">
      <c r="A315" s="6" t="s">
        <v>98</v>
      </c>
      <c r="B315" s="6" t="s">
        <v>45</v>
      </c>
      <c r="C315" s="6" t="s">
        <v>18</v>
      </c>
      <c r="D315" s="6"/>
      <c r="E315" s="6" t="s">
        <v>62</v>
      </c>
      <c r="F315" s="6" t="s">
        <v>100</v>
      </c>
      <c r="G315" s="6" t="s">
        <v>66</v>
      </c>
      <c r="H315" s="6">
        <v>2024</v>
      </c>
      <c r="I315" s="7">
        <v>1830</v>
      </c>
    </row>
    <row r="316" spans="1:9" x14ac:dyDescent="0.2">
      <c r="A316" s="6" t="s">
        <v>98</v>
      </c>
      <c r="B316" s="6" t="s">
        <v>45</v>
      </c>
      <c r="C316" s="6" t="s">
        <v>18</v>
      </c>
      <c r="D316" s="6"/>
      <c r="E316" s="6" t="s">
        <v>62</v>
      </c>
      <c r="F316" s="6" t="s">
        <v>100</v>
      </c>
      <c r="G316" s="6" t="s">
        <v>67</v>
      </c>
      <c r="H316" s="6">
        <v>2024</v>
      </c>
      <c r="I316" s="7">
        <v>1970</v>
      </c>
    </row>
    <row r="317" spans="1:9" x14ac:dyDescent="0.2">
      <c r="A317" s="6" t="s">
        <v>98</v>
      </c>
      <c r="B317" s="6" t="s">
        <v>45</v>
      </c>
      <c r="C317" s="6" t="s">
        <v>18</v>
      </c>
      <c r="D317" s="6"/>
      <c r="E317" s="6" t="s">
        <v>62</v>
      </c>
      <c r="F317" s="6" t="s">
        <v>100</v>
      </c>
      <c r="G317" s="6" t="s">
        <v>63</v>
      </c>
      <c r="H317" s="6">
        <v>2023</v>
      </c>
      <c r="I317" s="7">
        <v>10</v>
      </c>
    </row>
    <row r="318" spans="1:9" x14ac:dyDescent="0.2">
      <c r="A318" s="6" t="s">
        <v>98</v>
      </c>
      <c r="B318" s="6" t="s">
        <v>45</v>
      </c>
      <c r="C318" s="6" t="s">
        <v>18</v>
      </c>
      <c r="D318" s="6"/>
      <c r="E318" s="6" t="s">
        <v>62</v>
      </c>
      <c r="F318" s="6" t="s">
        <v>100</v>
      </c>
      <c r="G318" s="6" t="s">
        <v>64</v>
      </c>
      <c r="H318" s="6">
        <v>2023</v>
      </c>
      <c r="I318" s="7">
        <v>8070</v>
      </c>
    </row>
    <row r="319" spans="1:9" x14ac:dyDescent="0.2">
      <c r="A319" s="6" t="s">
        <v>98</v>
      </c>
      <c r="B319" s="6" t="s">
        <v>45</v>
      </c>
      <c r="C319" s="6" t="s">
        <v>18</v>
      </c>
      <c r="D319" s="6"/>
      <c r="E319" s="6" t="s">
        <v>62</v>
      </c>
      <c r="F319" s="6" t="s">
        <v>100</v>
      </c>
      <c r="G319" s="6" t="s">
        <v>65</v>
      </c>
      <c r="H319" s="6">
        <v>2023</v>
      </c>
      <c r="I319" s="7">
        <v>31590</v>
      </c>
    </row>
    <row r="320" spans="1:9" x14ac:dyDescent="0.2">
      <c r="A320" s="6" t="s">
        <v>98</v>
      </c>
      <c r="B320" s="6" t="s">
        <v>45</v>
      </c>
      <c r="C320" s="6" t="s">
        <v>18</v>
      </c>
      <c r="D320" s="6"/>
      <c r="E320" s="6" t="s">
        <v>62</v>
      </c>
      <c r="F320" s="6" t="s">
        <v>100</v>
      </c>
      <c r="G320" s="6" t="s">
        <v>68</v>
      </c>
      <c r="H320" s="6">
        <v>2023</v>
      </c>
      <c r="I320" s="7">
        <v>30</v>
      </c>
    </row>
    <row r="321" spans="1:9" x14ac:dyDescent="0.2">
      <c r="A321" s="6" t="s">
        <v>98</v>
      </c>
      <c r="B321" s="6" t="s">
        <v>45</v>
      </c>
      <c r="C321" s="6" t="s">
        <v>18</v>
      </c>
      <c r="D321" s="6"/>
      <c r="E321" s="6" t="s">
        <v>62</v>
      </c>
      <c r="F321" s="6" t="s">
        <v>100</v>
      </c>
      <c r="G321" s="6" t="s">
        <v>69</v>
      </c>
      <c r="H321" s="6">
        <v>2023</v>
      </c>
      <c r="I321" s="7">
        <v>0</v>
      </c>
    </row>
    <row r="322" spans="1:9" x14ac:dyDescent="0.2">
      <c r="A322" s="6" t="s">
        <v>98</v>
      </c>
      <c r="B322" s="6" t="s">
        <v>45</v>
      </c>
      <c r="C322" s="6" t="s">
        <v>18</v>
      </c>
      <c r="D322" s="6"/>
      <c r="E322" s="6" t="s">
        <v>62</v>
      </c>
      <c r="F322" s="6" t="s">
        <v>100</v>
      </c>
      <c r="G322" s="6" t="s">
        <v>66</v>
      </c>
      <c r="H322" s="6">
        <v>2023</v>
      </c>
      <c r="I322" s="7">
        <v>2570</v>
      </c>
    </row>
    <row r="323" spans="1:9" x14ac:dyDescent="0.2">
      <c r="A323" s="6" t="s">
        <v>98</v>
      </c>
      <c r="B323" s="6" t="s">
        <v>45</v>
      </c>
      <c r="C323" s="6" t="s">
        <v>18</v>
      </c>
      <c r="D323" s="6"/>
      <c r="E323" s="6" t="s">
        <v>62</v>
      </c>
      <c r="F323" s="6" t="s">
        <v>100</v>
      </c>
      <c r="G323" s="6" t="s">
        <v>67</v>
      </c>
      <c r="H323" s="6">
        <v>2023</v>
      </c>
      <c r="I323" s="7">
        <v>2640</v>
      </c>
    </row>
    <row r="324" spans="1:9" x14ac:dyDescent="0.2">
      <c r="A324" s="6" t="s">
        <v>98</v>
      </c>
      <c r="B324" s="6" t="s">
        <v>45</v>
      </c>
      <c r="C324" s="6" t="s">
        <v>18</v>
      </c>
      <c r="D324" s="6"/>
      <c r="E324" s="6" t="s">
        <v>62</v>
      </c>
      <c r="F324" s="6" t="s">
        <v>100</v>
      </c>
      <c r="G324" s="6" t="s">
        <v>63</v>
      </c>
      <c r="H324" s="6">
        <v>2022</v>
      </c>
      <c r="I324" s="7">
        <v>60</v>
      </c>
    </row>
    <row r="325" spans="1:9" x14ac:dyDescent="0.2">
      <c r="A325" s="6" t="s">
        <v>98</v>
      </c>
      <c r="B325" s="6" t="s">
        <v>45</v>
      </c>
      <c r="C325" s="6" t="s">
        <v>18</v>
      </c>
      <c r="D325" s="6"/>
      <c r="E325" s="6" t="s">
        <v>62</v>
      </c>
      <c r="F325" s="6" t="s">
        <v>100</v>
      </c>
      <c r="G325" s="6" t="s">
        <v>65</v>
      </c>
      <c r="H325" s="6">
        <v>2022</v>
      </c>
      <c r="I325" s="7">
        <v>33790</v>
      </c>
    </row>
    <row r="326" spans="1:9" x14ac:dyDescent="0.2">
      <c r="A326" s="6" t="s">
        <v>98</v>
      </c>
      <c r="B326" s="6" t="s">
        <v>45</v>
      </c>
      <c r="C326" s="6" t="s">
        <v>18</v>
      </c>
      <c r="D326" s="6"/>
      <c r="E326" s="6" t="s">
        <v>62</v>
      </c>
      <c r="F326" s="6" t="s">
        <v>100</v>
      </c>
      <c r="G326" s="6" t="s">
        <v>68</v>
      </c>
      <c r="H326" s="6">
        <v>2022</v>
      </c>
      <c r="I326" s="7">
        <v>60</v>
      </c>
    </row>
    <row r="327" spans="1:9" x14ac:dyDescent="0.2">
      <c r="A327" s="6" t="s">
        <v>98</v>
      </c>
      <c r="B327" s="6" t="s">
        <v>45</v>
      </c>
      <c r="C327" s="6" t="s">
        <v>18</v>
      </c>
      <c r="D327" s="6"/>
      <c r="E327" s="6" t="s">
        <v>62</v>
      </c>
      <c r="F327" s="6" t="s">
        <v>100</v>
      </c>
      <c r="G327" s="6" t="s">
        <v>69</v>
      </c>
      <c r="H327" s="6">
        <v>2022</v>
      </c>
      <c r="I327" s="7">
        <v>0</v>
      </c>
    </row>
    <row r="328" spans="1:9" x14ac:dyDescent="0.2">
      <c r="A328" s="6" t="s">
        <v>98</v>
      </c>
      <c r="B328" s="6" t="s">
        <v>45</v>
      </c>
      <c r="C328" s="6" t="s">
        <v>18</v>
      </c>
      <c r="D328" s="6"/>
      <c r="E328" s="6" t="s">
        <v>62</v>
      </c>
      <c r="F328" s="6" t="s">
        <v>100</v>
      </c>
      <c r="G328" s="6" t="s">
        <v>66</v>
      </c>
      <c r="H328" s="6">
        <v>2022</v>
      </c>
      <c r="I328" s="7">
        <v>2940</v>
      </c>
    </row>
    <row r="329" spans="1:9" x14ac:dyDescent="0.2">
      <c r="A329" s="6" t="s">
        <v>98</v>
      </c>
      <c r="B329" s="6" t="s">
        <v>45</v>
      </c>
      <c r="C329" s="6" t="s">
        <v>18</v>
      </c>
      <c r="D329" s="6"/>
      <c r="E329" s="6" t="s">
        <v>62</v>
      </c>
      <c r="F329" s="6" t="s">
        <v>100</v>
      </c>
      <c r="G329" s="6" t="s">
        <v>67</v>
      </c>
      <c r="H329" s="6">
        <v>2022</v>
      </c>
      <c r="I329" s="7">
        <v>3200</v>
      </c>
    </row>
    <row r="330" spans="1:9" x14ac:dyDescent="0.2">
      <c r="A330" s="6" t="s">
        <v>98</v>
      </c>
      <c r="B330" s="6" t="s">
        <v>45</v>
      </c>
      <c r="C330" s="6" t="s">
        <v>18</v>
      </c>
      <c r="D330" s="6"/>
      <c r="E330" s="6" t="s">
        <v>62</v>
      </c>
      <c r="F330" s="6" t="s">
        <v>101</v>
      </c>
      <c r="G330" s="6" t="s">
        <v>70</v>
      </c>
      <c r="H330" s="6">
        <v>2024</v>
      </c>
      <c r="I330" s="7">
        <v>120</v>
      </c>
    </row>
    <row r="331" spans="1:9" x14ac:dyDescent="0.2">
      <c r="A331" s="6" t="s">
        <v>98</v>
      </c>
      <c r="B331" s="6" t="s">
        <v>45</v>
      </c>
      <c r="C331" s="6" t="s">
        <v>18</v>
      </c>
      <c r="D331" s="6"/>
      <c r="E331" s="6" t="s">
        <v>62</v>
      </c>
      <c r="F331" s="6" t="s">
        <v>101</v>
      </c>
      <c r="G331" s="6" t="s">
        <v>71</v>
      </c>
      <c r="H331" s="6">
        <v>2024</v>
      </c>
      <c r="I331" s="7">
        <v>20</v>
      </c>
    </row>
    <row r="332" spans="1:9" x14ac:dyDescent="0.2">
      <c r="A332" s="6" t="s">
        <v>98</v>
      </c>
      <c r="B332" s="6" t="s">
        <v>45</v>
      </c>
      <c r="C332" s="6" t="s">
        <v>18</v>
      </c>
      <c r="D332" s="6"/>
      <c r="E332" s="6" t="s">
        <v>62</v>
      </c>
      <c r="F332" s="6" t="s">
        <v>101</v>
      </c>
      <c r="G332" s="6" t="s">
        <v>72</v>
      </c>
      <c r="H332" s="6">
        <v>2024</v>
      </c>
      <c r="I332" s="7">
        <v>2160</v>
      </c>
    </row>
    <row r="333" spans="1:9" x14ac:dyDescent="0.2">
      <c r="A333" s="6" t="s">
        <v>98</v>
      </c>
      <c r="B333" s="6" t="s">
        <v>45</v>
      </c>
      <c r="C333" s="6" t="s">
        <v>18</v>
      </c>
      <c r="D333" s="6"/>
      <c r="E333" s="6" t="s">
        <v>62</v>
      </c>
      <c r="F333" s="6" t="s">
        <v>101</v>
      </c>
      <c r="G333" s="6" t="s">
        <v>73</v>
      </c>
      <c r="H333" s="6">
        <v>2024</v>
      </c>
      <c r="I333" s="7">
        <v>70</v>
      </c>
    </row>
    <row r="334" spans="1:9" x14ac:dyDescent="0.2">
      <c r="A334" s="6" t="s">
        <v>98</v>
      </c>
      <c r="B334" s="6" t="s">
        <v>45</v>
      </c>
      <c r="C334" s="6" t="s">
        <v>18</v>
      </c>
      <c r="D334" s="6"/>
      <c r="E334" s="6" t="s">
        <v>62</v>
      </c>
      <c r="F334" s="6" t="s">
        <v>101</v>
      </c>
      <c r="G334" s="6" t="s">
        <v>70</v>
      </c>
      <c r="H334" s="6">
        <v>2023</v>
      </c>
      <c r="I334" s="7">
        <v>160</v>
      </c>
    </row>
    <row r="335" spans="1:9" x14ac:dyDescent="0.2">
      <c r="A335" s="6" t="s">
        <v>98</v>
      </c>
      <c r="B335" s="6" t="s">
        <v>45</v>
      </c>
      <c r="C335" s="6" t="s">
        <v>18</v>
      </c>
      <c r="D335" s="6"/>
      <c r="E335" s="6" t="s">
        <v>62</v>
      </c>
      <c r="F335" s="6" t="s">
        <v>101</v>
      </c>
      <c r="G335" s="6" t="s">
        <v>71</v>
      </c>
      <c r="H335" s="6">
        <v>2023</v>
      </c>
      <c r="I335" s="7">
        <v>40</v>
      </c>
    </row>
    <row r="336" spans="1:9" x14ac:dyDescent="0.2">
      <c r="A336" s="6" t="s">
        <v>98</v>
      </c>
      <c r="B336" s="6" t="s">
        <v>45</v>
      </c>
      <c r="C336" s="6" t="s">
        <v>18</v>
      </c>
      <c r="D336" s="6"/>
      <c r="E336" s="6" t="s">
        <v>62</v>
      </c>
      <c r="F336" s="6" t="s">
        <v>101</v>
      </c>
      <c r="G336" s="6" t="s">
        <v>72</v>
      </c>
      <c r="H336" s="6">
        <v>2023</v>
      </c>
      <c r="I336" s="7">
        <v>3330</v>
      </c>
    </row>
    <row r="337" spans="1:9" x14ac:dyDescent="0.2">
      <c r="A337" s="6" t="s">
        <v>98</v>
      </c>
      <c r="B337" s="6" t="s">
        <v>45</v>
      </c>
      <c r="C337" s="6" t="s">
        <v>18</v>
      </c>
      <c r="D337" s="6"/>
      <c r="E337" s="6" t="s">
        <v>62</v>
      </c>
      <c r="F337" s="6" t="s">
        <v>101</v>
      </c>
      <c r="G337" s="6" t="s">
        <v>73</v>
      </c>
      <c r="H337" s="6">
        <v>2023</v>
      </c>
      <c r="I337" s="7">
        <v>40</v>
      </c>
    </row>
    <row r="338" spans="1:9" x14ac:dyDescent="0.2">
      <c r="A338" s="6" t="s">
        <v>98</v>
      </c>
      <c r="B338" s="6" t="s">
        <v>45</v>
      </c>
      <c r="C338" s="6" t="s">
        <v>18</v>
      </c>
      <c r="D338" s="6"/>
      <c r="E338" s="6" t="s">
        <v>62</v>
      </c>
      <c r="F338" s="6" t="s">
        <v>101</v>
      </c>
      <c r="G338" s="6" t="s">
        <v>70</v>
      </c>
      <c r="H338" s="6">
        <v>2022</v>
      </c>
      <c r="I338" s="7">
        <v>230</v>
      </c>
    </row>
    <row r="339" spans="1:9" x14ac:dyDescent="0.2">
      <c r="A339" s="6" t="s">
        <v>98</v>
      </c>
      <c r="B339" s="6" t="s">
        <v>45</v>
      </c>
      <c r="C339" s="6" t="s">
        <v>18</v>
      </c>
      <c r="D339" s="6"/>
      <c r="E339" s="6" t="s">
        <v>62</v>
      </c>
      <c r="F339" s="6" t="s">
        <v>101</v>
      </c>
      <c r="G339" s="6" t="s">
        <v>71</v>
      </c>
      <c r="H339" s="6">
        <v>2022</v>
      </c>
      <c r="I339" s="7">
        <v>70</v>
      </c>
    </row>
    <row r="340" spans="1:9" x14ac:dyDescent="0.2">
      <c r="A340" s="6" t="s">
        <v>98</v>
      </c>
      <c r="B340" s="6" t="s">
        <v>45</v>
      </c>
      <c r="C340" s="6" t="s">
        <v>18</v>
      </c>
      <c r="D340" s="6"/>
      <c r="E340" s="6" t="s">
        <v>62</v>
      </c>
      <c r="F340" s="6" t="s">
        <v>101</v>
      </c>
      <c r="G340" s="6" t="s">
        <v>72</v>
      </c>
      <c r="H340" s="6">
        <v>2022</v>
      </c>
      <c r="I340" s="7">
        <v>3500</v>
      </c>
    </row>
    <row r="341" spans="1:9" x14ac:dyDescent="0.2">
      <c r="A341" s="6" t="s">
        <v>98</v>
      </c>
      <c r="B341" s="6" t="s">
        <v>45</v>
      </c>
      <c r="C341" s="6" t="s">
        <v>18</v>
      </c>
      <c r="D341" s="6"/>
      <c r="E341" s="6" t="s">
        <v>62</v>
      </c>
      <c r="F341" s="6" t="s">
        <v>101</v>
      </c>
      <c r="G341" s="6" t="s">
        <v>73</v>
      </c>
      <c r="H341" s="6">
        <v>2022</v>
      </c>
      <c r="I341" s="7">
        <v>50</v>
      </c>
    </row>
    <row r="342" spans="1:9" x14ac:dyDescent="0.2">
      <c r="A342" s="6" t="s">
        <v>98</v>
      </c>
      <c r="B342" s="6" t="s">
        <v>45</v>
      </c>
      <c r="C342" s="6" t="s">
        <v>18</v>
      </c>
      <c r="D342" s="6"/>
      <c r="E342" s="6" t="s">
        <v>62</v>
      </c>
      <c r="F342" s="6" t="s">
        <v>103</v>
      </c>
      <c r="G342" s="6" t="s">
        <v>74</v>
      </c>
      <c r="H342" s="6">
        <v>2024</v>
      </c>
      <c r="I342" s="7">
        <v>73020</v>
      </c>
    </row>
    <row r="343" spans="1:9" x14ac:dyDescent="0.2">
      <c r="A343" s="6" t="s">
        <v>98</v>
      </c>
      <c r="B343" s="6" t="s">
        <v>45</v>
      </c>
      <c r="C343" s="6" t="s">
        <v>18</v>
      </c>
      <c r="D343" s="6"/>
      <c r="E343" s="6" t="s">
        <v>62</v>
      </c>
      <c r="F343" s="6" t="s">
        <v>103</v>
      </c>
      <c r="G343" s="6" t="s">
        <v>75</v>
      </c>
      <c r="H343" s="6">
        <v>2024</v>
      </c>
      <c r="I343" s="7">
        <v>2120</v>
      </c>
    </row>
    <row r="344" spans="1:9" x14ac:dyDescent="0.2">
      <c r="A344" s="6" t="s">
        <v>98</v>
      </c>
      <c r="B344" s="6" t="s">
        <v>45</v>
      </c>
      <c r="C344" s="6" t="s">
        <v>18</v>
      </c>
      <c r="D344" s="6"/>
      <c r="E344" s="6" t="s">
        <v>62</v>
      </c>
      <c r="F344" s="6" t="s">
        <v>103</v>
      </c>
      <c r="G344" s="6" t="s">
        <v>76</v>
      </c>
      <c r="H344" s="6">
        <v>2024</v>
      </c>
      <c r="I344" s="7">
        <v>410</v>
      </c>
    </row>
    <row r="345" spans="1:9" x14ac:dyDescent="0.2">
      <c r="A345" s="6" t="s">
        <v>98</v>
      </c>
      <c r="B345" s="6" t="s">
        <v>45</v>
      </c>
      <c r="C345" s="6" t="s">
        <v>18</v>
      </c>
      <c r="D345" s="6"/>
      <c r="E345" s="6" t="s">
        <v>62</v>
      </c>
      <c r="F345" s="6" t="s">
        <v>103</v>
      </c>
      <c r="G345" s="6" t="s">
        <v>77</v>
      </c>
      <c r="H345" s="6">
        <v>2024</v>
      </c>
      <c r="I345" s="7">
        <v>840</v>
      </c>
    </row>
    <row r="346" spans="1:9" x14ac:dyDescent="0.2">
      <c r="A346" s="6" t="s">
        <v>98</v>
      </c>
      <c r="B346" s="6" t="s">
        <v>45</v>
      </c>
      <c r="C346" s="6" t="s">
        <v>18</v>
      </c>
      <c r="D346" s="6"/>
      <c r="E346" s="6" t="s">
        <v>62</v>
      </c>
      <c r="F346" s="6" t="s">
        <v>103</v>
      </c>
      <c r="G346" s="6" t="s">
        <v>78</v>
      </c>
      <c r="H346" s="6">
        <v>2024</v>
      </c>
      <c r="I346" s="7">
        <v>49050</v>
      </c>
    </row>
    <row r="347" spans="1:9" x14ac:dyDescent="0.2">
      <c r="A347" s="6" t="s">
        <v>98</v>
      </c>
      <c r="B347" s="6" t="s">
        <v>45</v>
      </c>
      <c r="C347" s="6" t="s">
        <v>18</v>
      </c>
      <c r="D347" s="6"/>
      <c r="E347" s="6" t="s">
        <v>62</v>
      </c>
      <c r="F347" s="6" t="s">
        <v>103</v>
      </c>
      <c r="G347" s="6" t="s">
        <v>79</v>
      </c>
      <c r="H347" s="6">
        <v>2024</v>
      </c>
      <c r="I347" s="7">
        <v>90</v>
      </c>
    </row>
    <row r="348" spans="1:9" x14ac:dyDescent="0.2">
      <c r="A348" s="6" t="s">
        <v>98</v>
      </c>
      <c r="B348" s="6" t="s">
        <v>45</v>
      </c>
      <c r="C348" s="6" t="s">
        <v>18</v>
      </c>
      <c r="D348" s="6"/>
      <c r="E348" s="6" t="s">
        <v>62</v>
      </c>
      <c r="F348" s="6" t="s">
        <v>103</v>
      </c>
      <c r="G348" s="6" t="s">
        <v>80</v>
      </c>
      <c r="H348" s="6">
        <v>2024</v>
      </c>
      <c r="I348" s="7">
        <v>930</v>
      </c>
    </row>
    <row r="349" spans="1:9" x14ac:dyDescent="0.2">
      <c r="A349" s="6" t="s">
        <v>98</v>
      </c>
      <c r="B349" s="6" t="s">
        <v>45</v>
      </c>
      <c r="C349" s="6" t="s">
        <v>18</v>
      </c>
      <c r="D349" s="6"/>
      <c r="E349" s="6" t="s">
        <v>62</v>
      </c>
      <c r="F349" s="6" t="s">
        <v>103</v>
      </c>
      <c r="G349" s="6" t="s">
        <v>81</v>
      </c>
      <c r="H349" s="6">
        <v>2024</v>
      </c>
      <c r="I349" s="7">
        <v>150</v>
      </c>
    </row>
    <row r="350" spans="1:9" x14ac:dyDescent="0.2">
      <c r="A350" s="6" t="s">
        <v>98</v>
      </c>
      <c r="B350" s="6" t="s">
        <v>45</v>
      </c>
      <c r="C350" s="6" t="s">
        <v>18</v>
      </c>
      <c r="D350" s="6"/>
      <c r="E350" s="6" t="s">
        <v>62</v>
      </c>
      <c r="F350" s="6" t="s">
        <v>103</v>
      </c>
      <c r="G350" s="6" t="s">
        <v>82</v>
      </c>
      <c r="H350" s="6">
        <v>2024</v>
      </c>
      <c r="I350" s="7">
        <v>370</v>
      </c>
    </row>
    <row r="351" spans="1:9" x14ac:dyDescent="0.2">
      <c r="A351" s="6" t="s">
        <v>98</v>
      </c>
      <c r="B351" s="6" t="s">
        <v>45</v>
      </c>
      <c r="C351" s="6" t="s">
        <v>18</v>
      </c>
      <c r="D351" s="6"/>
      <c r="E351" s="6" t="s">
        <v>62</v>
      </c>
      <c r="F351" s="6" t="s">
        <v>103</v>
      </c>
      <c r="G351" s="6" t="s">
        <v>83</v>
      </c>
      <c r="H351" s="6">
        <v>2024</v>
      </c>
      <c r="I351" s="7">
        <v>240</v>
      </c>
    </row>
    <row r="352" spans="1:9" x14ac:dyDescent="0.2">
      <c r="A352" s="6" t="s">
        <v>98</v>
      </c>
      <c r="B352" s="6" t="s">
        <v>45</v>
      </c>
      <c r="C352" s="6" t="s">
        <v>18</v>
      </c>
      <c r="D352" s="6"/>
      <c r="E352" s="6" t="s">
        <v>62</v>
      </c>
      <c r="F352" s="6" t="s">
        <v>103</v>
      </c>
      <c r="G352" s="6" t="s">
        <v>84</v>
      </c>
      <c r="H352" s="6">
        <v>2024</v>
      </c>
      <c r="I352" s="7">
        <v>300</v>
      </c>
    </row>
    <row r="353" spans="1:9" x14ac:dyDescent="0.2">
      <c r="A353" s="6" t="s">
        <v>98</v>
      </c>
      <c r="B353" s="6" t="s">
        <v>45</v>
      </c>
      <c r="C353" s="6" t="s">
        <v>18</v>
      </c>
      <c r="D353" s="6"/>
      <c r="E353" s="6" t="s">
        <v>62</v>
      </c>
      <c r="F353" s="6" t="s">
        <v>103</v>
      </c>
      <c r="G353" s="6" t="s">
        <v>74</v>
      </c>
      <c r="H353" s="6">
        <v>2023</v>
      </c>
      <c r="I353" s="7">
        <v>113410</v>
      </c>
    </row>
    <row r="354" spans="1:9" x14ac:dyDescent="0.2">
      <c r="A354" s="6" t="s">
        <v>98</v>
      </c>
      <c r="B354" s="6" t="s">
        <v>45</v>
      </c>
      <c r="C354" s="6" t="s">
        <v>18</v>
      </c>
      <c r="D354" s="6"/>
      <c r="E354" s="6" t="s">
        <v>62</v>
      </c>
      <c r="F354" s="6" t="s">
        <v>103</v>
      </c>
      <c r="G354" s="6" t="s">
        <v>75</v>
      </c>
      <c r="H354" s="6">
        <v>2023</v>
      </c>
      <c r="I354" s="7">
        <v>3830</v>
      </c>
    </row>
    <row r="355" spans="1:9" x14ac:dyDescent="0.2">
      <c r="A355" s="6" t="s">
        <v>98</v>
      </c>
      <c r="B355" s="6" t="s">
        <v>45</v>
      </c>
      <c r="C355" s="6" t="s">
        <v>18</v>
      </c>
      <c r="D355" s="6"/>
      <c r="E355" s="6" t="s">
        <v>62</v>
      </c>
      <c r="F355" s="6" t="s">
        <v>103</v>
      </c>
      <c r="G355" s="6" t="s">
        <v>76</v>
      </c>
      <c r="H355" s="6">
        <v>2023</v>
      </c>
      <c r="I355" s="7">
        <v>620</v>
      </c>
    </row>
    <row r="356" spans="1:9" x14ac:dyDescent="0.2">
      <c r="A356" s="6" t="s">
        <v>98</v>
      </c>
      <c r="B356" s="6" t="s">
        <v>45</v>
      </c>
      <c r="C356" s="6" t="s">
        <v>18</v>
      </c>
      <c r="D356" s="6"/>
      <c r="E356" s="6" t="s">
        <v>62</v>
      </c>
      <c r="F356" s="6" t="s">
        <v>103</v>
      </c>
      <c r="G356" s="6" t="s">
        <v>77</v>
      </c>
      <c r="H356" s="6">
        <v>2023</v>
      </c>
      <c r="I356" s="7">
        <v>790</v>
      </c>
    </row>
    <row r="357" spans="1:9" x14ac:dyDescent="0.2">
      <c r="A357" s="6" t="s">
        <v>98</v>
      </c>
      <c r="B357" s="6" t="s">
        <v>45</v>
      </c>
      <c r="C357" s="6" t="s">
        <v>18</v>
      </c>
      <c r="D357" s="6"/>
      <c r="E357" s="6" t="s">
        <v>62</v>
      </c>
      <c r="F357" s="6" t="s">
        <v>103</v>
      </c>
      <c r="G357" s="6" t="s">
        <v>78</v>
      </c>
      <c r="H357" s="6">
        <v>2023</v>
      </c>
      <c r="I357" s="7">
        <v>9320</v>
      </c>
    </row>
    <row r="358" spans="1:9" x14ac:dyDescent="0.2">
      <c r="A358" s="6" t="s">
        <v>98</v>
      </c>
      <c r="B358" s="6" t="s">
        <v>45</v>
      </c>
      <c r="C358" s="6" t="s">
        <v>18</v>
      </c>
      <c r="D358" s="6"/>
      <c r="E358" s="6" t="s">
        <v>62</v>
      </c>
      <c r="F358" s="6" t="s">
        <v>103</v>
      </c>
      <c r="G358" s="6" t="s">
        <v>79</v>
      </c>
      <c r="H358" s="6">
        <v>2023</v>
      </c>
      <c r="I358" s="7">
        <v>100</v>
      </c>
    </row>
    <row r="359" spans="1:9" x14ac:dyDescent="0.2">
      <c r="A359" s="6" t="s">
        <v>98</v>
      </c>
      <c r="B359" s="6" t="s">
        <v>45</v>
      </c>
      <c r="C359" s="6" t="s">
        <v>18</v>
      </c>
      <c r="D359" s="6"/>
      <c r="E359" s="6" t="s">
        <v>62</v>
      </c>
      <c r="F359" s="6" t="s">
        <v>103</v>
      </c>
      <c r="G359" s="6" t="s">
        <v>80</v>
      </c>
      <c r="H359" s="6">
        <v>2023</v>
      </c>
      <c r="I359" s="7">
        <v>980</v>
      </c>
    </row>
    <row r="360" spans="1:9" x14ac:dyDescent="0.2">
      <c r="A360" s="6" t="s">
        <v>98</v>
      </c>
      <c r="B360" s="6" t="s">
        <v>45</v>
      </c>
      <c r="C360" s="6" t="s">
        <v>18</v>
      </c>
      <c r="D360" s="6"/>
      <c r="E360" s="6" t="s">
        <v>62</v>
      </c>
      <c r="F360" s="6" t="s">
        <v>103</v>
      </c>
      <c r="G360" s="6" t="s">
        <v>81</v>
      </c>
      <c r="H360" s="6">
        <v>2023</v>
      </c>
      <c r="I360" s="7">
        <v>130</v>
      </c>
    </row>
    <row r="361" spans="1:9" x14ac:dyDescent="0.2">
      <c r="A361" s="6" t="s">
        <v>98</v>
      </c>
      <c r="B361" s="6" t="s">
        <v>45</v>
      </c>
      <c r="C361" s="6" t="s">
        <v>18</v>
      </c>
      <c r="D361" s="6"/>
      <c r="E361" s="6" t="s">
        <v>62</v>
      </c>
      <c r="F361" s="6" t="s">
        <v>103</v>
      </c>
      <c r="G361" s="6" t="s">
        <v>82</v>
      </c>
      <c r="H361" s="6">
        <v>2023</v>
      </c>
      <c r="I361" s="7">
        <v>400</v>
      </c>
    </row>
    <row r="362" spans="1:9" x14ac:dyDescent="0.2">
      <c r="A362" s="6" t="s">
        <v>98</v>
      </c>
      <c r="B362" s="6" t="s">
        <v>45</v>
      </c>
      <c r="C362" s="6" t="s">
        <v>18</v>
      </c>
      <c r="D362" s="6"/>
      <c r="E362" s="6" t="s">
        <v>62</v>
      </c>
      <c r="F362" s="6" t="s">
        <v>103</v>
      </c>
      <c r="G362" s="6" t="s">
        <v>83</v>
      </c>
      <c r="H362" s="6">
        <v>2023</v>
      </c>
      <c r="I362" s="7">
        <v>250</v>
      </c>
    </row>
    <row r="363" spans="1:9" x14ac:dyDescent="0.2">
      <c r="A363" s="6" t="s">
        <v>98</v>
      </c>
      <c r="B363" s="6" t="s">
        <v>45</v>
      </c>
      <c r="C363" s="6" t="s">
        <v>18</v>
      </c>
      <c r="D363" s="6"/>
      <c r="E363" s="6" t="s">
        <v>62</v>
      </c>
      <c r="F363" s="6" t="s">
        <v>103</v>
      </c>
      <c r="G363" s="6" t="s">
        <v>84</v>
      </c>
      <c r="H363" s="6">
        <v>2023</v>
      </c>
      <c r="I363" s="7">
        <v>300</v>
      </c>
    </row>
    <row r="364" spans="1:9" x14ac:dyDescent="0.2">
      <c r="A364" s="6" t="s">
        <v>98</v>
      </c>
      <c r="B364" s="6" t="s">
        <v>45</v>
      </c>
      <c r="C364" s="6" t="s">
        <v>18</v>
      </c>
      <c r="D364" s="6"/>
      <c r="E364" s="6" t="s">
        <v>62</v>
      </c>
      <c r="F364" s="6" t="s">
        <v>103</v>
      </c>
      <c r="G364" s="6" t="s">
        <v>74</v>
      </c>
      <c r="H364" s="6">
        <v>2022</v>
      </c>
      <c r="I364" s="7">
        <v>102770</v>
      </c>
    </row>
    <row r="365" spans="1:9" x14ac:dyDescent="0.2">
      <c r="A365" s="6" t="s">
        <v>98</v>
      </c>
      <c r="B365" s="6" t="s">
        <v>45</v>
      </c>
      <c r="C365" s="6" t="s">
        <v>18</v>
      </c>
      <c r="D365" s="6"/>
      <c r="E365" s="6" t="s">
        <v>62</v>
      </c>
      <c r="F365" s="6" t="s">
        <v>103</v>
      </c>
      <c r="G365" s="6" t="s">
        <v>75</v>
      </c>
      <c r="H365" s="6">
        <v>2022</v>
      </c>
      <c r="I365" s="7">
        <v>4810</v>
      </c>
    </row>
    <row r="366" spans="1:9" x14ac:dyDescent="0.2">
      <c r="A366" s="6" t="s">
        <v>98</v>
      </c>
      <c r="B366" s="6" t="s">
        <v>45</v>
      </c>
      <c r="C366" s="6" t="s">
        <v>18</v>
      </c>
      <c r="D366" s="6"/>
      <c r="E366" s="6" t="s">
        <v>62</v>
      </c>
      <c r="F366" s="6" t="s">
        <v>103</v>
      </c>
      <c r="G366" s="6" t="s">
        <v>76</v>
      </c>
      <c r="H366" s="6">
        <v>2022</v>
      </c>
      <c r="I366" s="7">
        <v>730</v>
      </c>
    </row>
    <row r="367" spans="1:9" x14ac:dyDescent="0.2">
      <c r="A367" s="6" t="s">
        <v>98</v>
      </c>
      <c r="B367" s="6" t="s">
        <v>45</v>
      </c>
      <c r="C367" s="6" t="s">
        <v>18</v>
      </c>
      <c r="D367" s="6"/>
      <c r="E367" s="6" t="s">
        <v>62</v>
      </c>
      <c r="F367" s="6" t="s">
        <v>103</v>
      </c>
      <c r="G367" s="6" t="s">
        <v>77</v>
      </c>
      <c r="H367" s="6">
        <v>2022</v>
      </c>
      <c r="I367" s="7">
        <v>800</v>
      </c>
    </row>
    <row r="368" spans="1:9" x14ac:dyDescent="0.2">
      <c r="A368" s="6" t="s">
        <v>98</v>
      </c>
      <c r="B368" s="6" t="s">
        <v>45</v>
      </c>
      <c r="C368" s="6" t="s">
        <v>18</v>
      </c>
      <c r="D368" s="6"/>
      <c r="E368" s="6" t="s">
        <v>62</v>
      </c>
      <c r="F368" s="6" t="s">
        <v>103</v>
      </c>
      <c r="G368" s="6" t="s">
        <v>79</v>
      </c>
      <c r="H368" s="6">
        <v>2022</v>
      </c>
      <c r="I368" s="7">
        <v>110</v>
      </c>
    </row>
    <row r="369" spans="1:9" x14ac:dyDescent="0.2">
      <c r="A369" s="6" t="s">
        <v>98</v>
      </c>
      <c r="B369" s="6" t="s">
        <v>45</v>
      </c>
      <c r="C369" s="6" t="s">
        <v>18</v>
      </c>
      <c r="D369" s="6"/>
      <c r="E369" s="6" t="s">
        <v>62</v>
      </c>
      <c r="F369" s="6" t="s">
        <v>103</v>
      </c>
      <c r="G369" s="6" t="s">
        <v>80</v>
      </c>
      <c r="H369" s="6">
        <v>2022</v>
      </c>
      <c r="I369" s="7">
        <v>1220</v>
      </c>
    </row>
    <row r="370" spans="1:9" x14ac:dyDescent="0.2">
      <c r="A370" s="6" t="s">
        <v>98</v>
      </c>
      <c r="B370" s="6" t="s">
        <v>45</v>
      </c>
      <c r="C370" s="6" t="s">
        <v>18</v>
      </c>
      <c r="D370" s="6"/>
      <c r="E370" s="6" t="s">
        <v>62</v>
      </c>
      <c r="F370" s="6" t="s">
        <v>103</v>
      </c>
      <c r="G370" s="6" t="s">
        <v>81</v>
      </c>
      <c r="H370" s="6">
        <v>2022</v>
      </c>
      <c r="I370" s="7">
        <v>160</v>
      </c>
    </row>
    <row r="371" spans="1:9" x14ac:dyDescent="0.2">
      <c r="A371" s="6" t="s">
        <v>98</v>
      </c>
      <c r="B371" s="6" t="s">
        <v>45</v>
      </c>
      <c r="C371" s="6" t="s">
        <v>18</v>
      </c>
      <c r="D371" s="6"/>
      <c r="E371" s="6" t="s">
        <v>62</v>
      </c>
      <c r="F371" s="6" t="s">
        <v>103</v>
      </c>
      <c r="G371" s="6" t="s">
        <v>82</v>
      </c>
      <c r="H371" s="6">
        <v>2022</v>
      </c>
      <c r="I371" s="7">
        <v>420</v>
      </c>
    </row>
    <row r="372" spans="1:9" x14ac:dyDescent="0.2">
      <c r="A372" s="6" t="s">
        <v>98</v>
      </c>
      <c r="B372" s="6" t="s">
        <v>45</v>
      </c>
      <c r="C372" s="6" t="s">
        <v>18</v>
      </c>
      <c r="D372" s="6"/>
      <c r="E372" s="6" t="s">
        <v>62</v>
      </c>
      <c r="F372" s="6" t="s">
        <v>103</v>
      </c>
      <c r="G372" s="6" t="s">
        <v>83</v>
      </c>
      <c r="H372" s="6">
        <v>2022</v>
      </c>
      <c r="I372" s="7">
        <v>200</v>
      </c>
    </row>
    <row r="373" spans="1:9" x14ac:dyDescent="0.2">
      <c r="A373" s="6" t="s">
        <v>98</v>
      </c>
      <c r="B373" s="6" t="s">
        <v>45</v>
      </c>
      <c r="C373" s="6" t="s">
        <v>18</v>
      </c>
      <c r="D373" s="6"/>
      <c r="E373" s="6" t="s">
        <v>62</v>
      </c>
      <c r="F373" s="6" t="s">
        <v>103</v>
      </c>
      <c r="G373" s="6" t="s">
        <v>84</v>
      </c>
      <c r="H373" s="6">
        <v>2022</v>
      </c>
      <c r="I373" s="7">
        <v>310</v>
      </c>
    </row>
    <row r="374" spans="1:9" x14ac:dyDescent="0.2">
      <c r="A374" s="6" t="s">
        <v>98</v>
      </c>
      <c r="B374" s="6" t="s">
        <v>45</v>
      </c>
      <c r="C374" s="6" t="s">
        <v>18</v>
      </c>
      <c r="D374" s="6"/>
      <c r="E374" s="6" t="s">
        <v>62</v>
      </c>
      <c r="F374" s="6" t="s">
        <v>102</v>
      </c>
      <c r="G374" s="6" t="s">
        <v>85</v>
      </c>
      <c r="H374" s="6">
        <v>2024</v>
      </c>
      <c r="I374" s="7">
        <v>210</v>
      </c>
    </row>
    <row r="375" spans="1:9" x14ac:dyDescent="0.2">
      <c r="A375" s="6" t="s">
        <v>98</v>
      </c>
      <c r="B375" s="6" t="s">
        <v>45</v>
      </c>
      <c r="C375" s="6" t="s">
        <v>18</v>
      </c>
      <c r="D375" s="6"/>
      <c r="E375" s="6" t="s">
        <v>62</v>
      </c>
      <c r="F375" s="6" t="s">
        <v>102</v>
      </c>
      <c r="G375" s="6" t="s">
        <v>85</v>
      </c>
      <c r="H375" s="6">
        <v>2023</v>
      </c>
      <c r="I375" s="7">
        <v>560</v>
      </c>
    </row>
    <row r="376" spans="1:9" x14ac:dyDescent="0.2">
      <c r="A376" s="6" t="s">
        <v>98</v>
      </c>
      <c r="B376" s="6" t="s">
        <v>45</v>
      </c>
      <c r="C376" s="6" t="s">
        <v>18</v>
      </c>
      <c r="D376" s="6"/>
      <c r="E376" s="6" t="s">
        <v>62</v>
      </c>
      <c r="F376" s="6" t="s">
        <v>102</v>
      </c>
      <c r="G376" s="6" t="s">
        <v>85</v>
      </c>
      <c r="H376" s="6">
        <v>2022</v>
      </c>
      <c r="I376" s="7">
        <v>530</v>
      </c>
    </row>
    <row r="377" spans="1:9" x14ac:dyDescent="0.2">
      <c r="A377" s="6" t="s">
        <v>98</v>
      </c>
      <c r="B377" s="6" t="s">
        <v>86</v>
      </c>
      <c r="C377" s="6" t="s">
        <v>87</v>
      </c>
      <c r="D377" s="6" t="s">
        <v>86</v>
      </c>
      <c r="E377" s="6"/>
      <c r="F377" s="6" t="s">
        <v>100</v>
      </c>
      <c r="G377" s="6" t="s">
        <v>88</v>
      </c>
      <c r="H377" s="6">
        <v>2024</v>
      </c>
      <c r="I377" s="7">
        <v>34390</v>
      </c>
    </row>
    <row r="378" spans="1:9" x14ac:dyDescent="0.2">
      <c r="A378" s="6" t="s">
        <v>98</v>
      </c>
      <c r="B378" s="6" t="s">
        <v>86</v>
      </c>
      <c r="C378" s="6" t="s">
        <v>87</v>
      </c>
      <c r="D378" s="6" t="s">
        <v>86</v>
      </c>
      <c r="E378" s="6"/>
      <c r="F378" s="6" t="s">
        <v>100</v>
      </c>
      <c r="G378" s="6" t="s">
        <v>88</v>
      </c>
      <c r="H378" s="6">
        <v>2023</v>
      </c>
      <c r="I378" s="7">
        <v>25950</v>
      </c>
    </row>
    <row r="379" spans="1:9" x14ac:dyDescent="0.2">
      <c r="A379" s="6" t="s">
        <v>98</v>
      </c>
      <c r="B379" s="6" t="s">
        <v>86</v>
      </c>
      <c r="C379" s="6" t="s">
        <v>87</v>
      </c>
      <c r="D379" s="6" t="s">
        <v>86</v>
      </c>
      <c r="E379" s="6"/>
      <c r="F379" s="6" t="s">
        <v>100</v>
      </c>
      <c r="G379" s="6" t="s">
        <v>88</v>
      </c>
      <c r="H379" s="6">
        <v>2022</v>
      </c>
      <c r="I379" s="7">
        <v>23410</v>
      </c>
    </row>
    <row r="380" spans="1:9" x14ac:dyDescent="0.2">
      <c r="A380" s="6" t="s">
        <v>98</v>
      </c>
      <c r="B380" s="6" t="s">
        <v>86</v>
      </c>
      <c r="C380" s="6" t="s">
        <v>87</v>
      </c>
      <c r="D380" s="6" t="s">
        <v>86</v>
      </c>
      <c r="E380" s="6"/>
      <c r="F380" s="6" t="s">
        <v>101</v>
      </c>
      <c r="G380" s="6" t="s">
        <v>89</v>
      </c>
      <c r="H380" s="6">
        <v>2024</v>
      </c>
      <c r="I380" s="7">
        <v>750</v>
      </c>
    </row>
    <row r="381" spans="1:9" x14ac:dyDescent="0.2">
      <c r="A381" s="6" t="s">
        <v>98</v>
      </c>
      <c r="B381" s="6" t="s">
        <v>86</v>
      </c>
      <c r="C381" s="6" t="s">
        <v>87</v>
      </c>
      <c r="D381" s="6" t="s">
        <v>86</v>
      </c>
      <c r="E381" s="6"/>
      <c r="F381" s="6" t="s">
        <v>101</v>
      </c>
      <c r="G381" s="6" t="s">
        <v>89</v>
      </c>
      <c r="H381" s="6">
        <v>2023</v>
      </c>
      <c r="I381" s="7">
        <v>750</v>
      </c>
    </row>
    <row r="382" spans="1:9" x14ac:dyDescent="0.2">
      <c r="A382" s="6" t="s">
        <v>98</v>
      </c>
      <c r="B382" s="6" t="s">
        <v>86</v>
      </c>
      <c r="C382" s="6" t="s">
        <v>87</v>
      </c>
      <c r="D382" s="6" t="s">
        <v>86</v>
      </c>
      <c r="E382" s="6"/>
      <c r="F382" s="6" t="s">
        <v>101</v>
      </c>
      <c r="G382" s="6" t="s">
        <v>89</v>
      </c>
      <c r="H382" s="6">
        <v>2022</v>
      </c>
      <c r="I382" s="7">
        <v>920</v>
      </c>
    </row>
    <row r="383" spans="1:9" x14ac:dyDescent="0.2">
      <c r="A383" s="6" t="s">
        <v>98</v>
      </c>
      <c r="B383" s="6" t="s">
        <v>86</v>
      </c>
      <c r="C383" s="6" t="s">
        <v>87</v>
      </c>
      <c r="D383" s="6" t="s">
        <v>86</v>
      </c>
      <c r="E383" s="6"/>
      <c r="F383" s="6" t="s">
        <v>103</v>
      </c>
      <c r="G383" s="6" t="s">
        <v>90</v>
      </c>
      <c r="H383" s="6">
        <v>2024</v>
      </c>
      <c r="I383" s="7">
        <v>13840</v>
      </c>
    </row>
    <row r="384" spans="1:9" x14ac:dyDescent="0.2">
      <c r="A384" s="6" t="s">
        <v>98</v>
      </c>
      <c r="B384" s="6" t="s">
        <v>86</v>
      </c>
      <c r="C384" s="6" t="s">
        <v>87</v>
      </c>
      <c r="D384" s="6" t="s">
        <v>86</v>
      </c>
      <c r="E384" s="6"/>
      <c r="F384" s="6" t="s">
        <v>103</v>
      </c>
      <c r="G384" s="6" t="s">
        <v>91</v>
      </c>
      <c r="H384" s="6">
        <v>2024</v>
      </c>
      <c r="I384" s="7">
        <v>40</v>
      </c>
    </row>
    <row r="385" spans="1:9" x14ac:dyDescent="0.2">
      <c r="A385" s="6" t="s">
        <v>98</v>
      </c>
      <c r="B385" s="6" t="s">
        <v>86</v>
      </c>
      <c r="C385" s="6" t="s">
        <v>87</v>
      </c>
      <c r="D385" s="6" t="s">
        <v>86</v>
      </c>
      <c r="E385" s="6"/>
      <c r="F385" s="6" t="s">
        <v>103</v>
      </c>
      <c r="G385" s="6" t="s">
        <v>92</v>
      </c>
      <c r="H385" s="6">
        <v>2024</v>
      </c>
      <c r="I385" s="7">
        <v>60940</v>
      </c>
    </row>
    <row r="386" spans="1:9" x14ac:dyDescent="0.2">
      <c r="A386" s="6" t="s">
        <v>98</v>
      </c>
      <c r="B386" s="6" t="s">
        <v>86</v>
      </c>
      <c r="C386" s="6" t="s">
        <v>87</v>
      </c>
      <c r="D386" s="6" t="s">
        <v>86</v>
      </c>
      <c r="E386" s="6"/>
      <c r="F386" s="6" t="s">
        <v>103</v>
      </c>
      <c r="G386" s="6" t="s">
        <v>93</v>
      </c>
      <c r="H386" s="6">
        <v>2024</v>
      </c>
      <c r="I386" s="7">
        <v>20670</v>
      </c>
    </row>
    <row r="387" spans="1:9" x14ac:dyDescent="0.2">
      <c r="A387" s="6" t="s">
        <v>98</v>
      </c>
      <c r="B387" s="6" t="s">
        <v>86</v>
      </c>
      <c r="C387" s="6" t="s">
        <v>87</v>
      </c>
      <c r="D387" s="6" t="s">
        <v>86</v>
      </c>
      <c r="E387" s="6"/>
      <c r="F387" s="6" t="s">
        <v>103</v>
      </c>
      <c r="G387" s="6" t="s">
        <v>90</v>
      </c>
      <c r="H387" s="6">
        <v>2023</v>
      </c>
      <c r="I387" s="7">
        <v>10510</v>
      </c>
    </row>
    <row r="388" spans="1:9" x14ac:dyDescent="0.2">
      <c r="A388" s="6" t="s">
        <v>98</v>
      </c>
      <c r="B388" s="6" t="s">
        <v>86</v>
      </c>
      <c r="C388" s="6" t="s">
        <v>87</v>
      </c>
      <c r="D388" s="6" t="s">
        <v>86</v>
      </c>
      <c r="E388" s="6"/>
      <c r="F388" s="6" t="s">
        <v>103</v>
      </c>
      <c r="G388" s="6" t="s">
        <v>92</v>
      </c>
      <c r="H388" s="6">
        <v>2023</v>
      </c>
      <c r="I388" s="7">
        <v>51280</v>
      </c>
    </row>
    <row r="389" spans="1:9" x14ac:dyDescent="0.2">
      <c r="A389" s="6" t="s">
        <v>98</v>
      </c>
      <c r="B389" s="6" t="s">
        <v>86</v>
      </c>
      <c r="C389" s="6" t="s">
        <v>87</v>
      </c>
      <c r="D389" s="6" t="s">
        <v>86</v>
      </c>
      <c r="E389" s="6"/>
      <c r="F389" s="6" t="s">
        <v>103</v>
      </c>
      <c r="G389" s="6" t="s">
        <v>93</v>
      </c>
      <c r="H389" s="6">
        <v>2023</v>
      </c>
      <c r="I389" s="7">
        <v>18740</v>
      </c>
    </row>
    <row r="390" spans="1:9" x14ac:dyDescent="0.2">
      <c r="A390" s="6" t="s">
        <v>98</v>
      </c>
      <c r="B390" s="6" t="s">
        <v>86</v>
      </c>
      <c r="C390" s="6" t="s">
        <v>87</v>
      </c>
      <c r="D390" s="6" t="s">
        <v>86</v>
      </c>
      <c r="E390" s="6"/>
      <c r="F390" s="6" t="s">
        <v>103</v>
      </c>
      <c r="G390" s="6" t="s">
        <v>90</v>
      </c>
      <c r="H390" s="6">
        <v>2022</v>
      </c>
      <c r="I390" s="7">
        <v>9020</v>
      </c>
    </row>
    <row r="391" spans="1:9" x14ac:dyDescent="0.2">
      <c r="A391" s="6" t="s">
        <v>98</v>
      </c>
      <c r="B391" s="6" t="s">
        <v>86</v>
      </c>
      <c r="C391" s="6" t="s">
        <v>87</v>
      </c>
      <c r="D391" s="6" t="s">
        <v>86</v>
      </c>
      <c r="E391" s="6"/>
      <c r="F391" s="6" t="s">
        <v>103</v>
      </c>
      <c r="G391" s="6" t="s">
        <v>92</v>
      </c>
      <c r="H391" s="6">
        <v>2022</v>
      </c>
      <c r="I391" s="7">
        <v>53390</v>
      </c>
    </row>
    <row r="392" spans="1:9" x14ac:dyDescent="0.2">
      <c r="A392" s="6" t="s">
        <v>98</v>
      </c>
      <c r="B392" s="6" t="s">
        <v>86</v>
      </c>
      <c r="C392" s="6" t="s">
        <v>87</v>
      </c>
      <c r="D392" s="6" t="s">
        <v>86</v>
      </c>
      <c r="E392" s="6"/>
      <c r="F392" s="6" t="s">
        <v>103</v>
      </c>
      <c r="G392" s="6" t="s">
        <v>93</v>
      </c>
      <c r="H392" s="6">
        <v>2022</v>
      </c>
      <c r="I392" s="7">
        <v>18270</v>
      </c>
    </row>
    <row r="393" spans="1:9" x14ac:dyDescent="0.2">
      <c r="A393" s="6" t="s">
        <v>98</v>
      </c>
      <c r="B393" s="6" t="s">
        <v>86</v>
      </c>
      <c r="C393" s="6" t="s">
        <v>94</v>
      </c>
      <c r="D393" s="6" t="s">
        <v>86</v>
      </c>
      <c r="E393" s="6"/>
      <c r="F393" s="6" t="s">
        <v>103</v>
      </c>
      <c r="G393" s="6" t="s">
        <v>95</v>
      </c>
      <c r="H393" s="6">
        <v>2024</v>
      </c>
      <c r="I393" s="7">
        <v>3600</v>
      </c>
    </row>
    <row r="394" spans="1:9" x14ac:dyDescent="0.2">
      <c r="A394" s="6" t="s">
        <v>98</v>
      </c>
      <c r="B394" s="6" t="s">
        <v>86</v>
      </c>
      <c r="C394" s="6" t="s">
        <v>94</v>
      </c>
      <c r="D394" s="6" t="s">
        <v>86</v>
      </c>
      <c r="E394" s="6"/>
      <c r="F394" s="6" t="s">
        <v>103</v>
      </c>
      <c r="G394" s="6" t="s">
        <v>96</v>
      </c>
      <c r="H394" s="6">
        <v>2024</v>
      </c>
      <c r="I394" s="7">
        <v>0</v>
      </c>
    </row>
    <row r="395" spans="1:9" x14ac:dyDescent="0.2">
      <c r="A395" s="6" t="s">
        <v>98</v>
      </c>
      <c r="B395" s="6" t="s">
        <v>86</v>
      </c>
      <c r="C395" s="6" t="s">
        <v>94</v>
      </c>
      <c r="D395" s="6" t="s">
        <v>86</v>
      </c>
      <c r="E395" s="6"/>
      <c r="F395" s="6" t="s">
        <v>103</v>
      </c>
      <c r="G395" s="6" t="s">
        <v>95</v>
      </c>
      <c r="H395" s="6">
        <v>2023</v>
      </c>
      <c r="I395" s="7">
        <v>710</v>
      </c>
    </row>
    <row r="396" spans="1:9" x14ac:dyDescent="0.2">
      <c r="A396" s="6" t="s">
        <v>98</v>
      </c>
      <c r="B396" s="6" t="s">
        <v>86</v>
      </c>
      <c r="C396" s="6" t="s">
        <v>94</v>
      </c>
      <c r="D396" s="6" t="s">
        <v>86</v>
      </c>
      <c r="E396" s="6"/>
      <c r="F396" s="6" t="s">
        <v>103</v>
      </c>
      <c r="G396" s="6" t="s">
        <v>96</v>
      </c>
      <c r="H396" s="6">
        <v>2023</v>
      </c>
      <c r="I396" s="7">
        <v>90</v>
      </c>
    </row>
    <row r="397" spans="1:9" x14ac:dyDescent="0.2">
      <c r="A397" s="6" t="s">
        <v>98</v>
      </c>
      <c r="B397" s="6" t="s">
        <v>86</v>
      </c>
      <c r="C397" s="6" t="s">
        <v>94</v>
      </c>
      <c r="D397" s="6" t="s">
        <v>86</v>
      </c>
      <c r="E397" s="6"/>
      <c r="F397" s="6" t="s">
        <v>103</v>
      </c>
      <c r="G397" s="6" t="s">
        <v>95</v>
      </c>
      <c r="H397" s="6">
        <v>2022</v>
      </c>
      <c r="I397" s="7">
        <v>420</v>
      </c>
    </row>
  </sheetData>
  <autoFilter ref="A1:I397" xr:uid="{E26A1808-CC85-4950-94C3-427674EFBB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33CD-187A-B24C-A6BF-56E54A6EF25F}">
  <dimension ref="A1:K397"/>
  <sheetViews>
    <sheetView topLeftCell="A2" workbookViewId="0">
      <selection activeCell="M33" sqref="M33"/>
    </sheetView>
  </sheetViews>
  <sheetFormatPr baseColWidth="10" defaultRowHeight="15" x14ac:dyDescent="0.2"/>
  <cols>
    <col min="1" max="1" width="16" bestFit="1" customWidth="1"/>
    <col min="2" max="2" width="13.83203125" bestFit="1" customWidth="1"/>
    <col min="3" max="3" width="12.83203125" bestFit="1" customWidth="1"/>
    <col min="4" max="4" width="18.1640625" bestFit="1" customWidth="1"/>
    <col min="5" max="5" width="16" bestFit="1" customWidth="1"/>
    <col min="6" max="6" width="17.5" bestFit="1" customWidth="1"/>
    <col min="7" max="7" width="22.5" bestFit="1" customWidth="1"/>
    <col min="8" max="8" width="7.1640625" bestFit="1" customWidth="1"/>
    <col min="9" max="9" width="15.83203125" style="2" bestFit="1" customWidth="1"/>
    <col min="14" max="14" width="17.33203125" bestFit="1" customWidth="1"/>
    <col min="15" max="15" width="14.5" bestFit="1" customWidth="1"/>
    <col min="16" max="16" width="16.83203125" bestFit="1" customWidth="1"/>
    <col min="17" max="17" width="27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99</v>
      </c>
      <c r="I1" s="9" t="s">
        <v>7</v>
      </c>
      <c r="K1" t="str" cm="1">
        <f t="array" ref="K1:K76">_xlfn.UNIQUE(_xlfn._xlws.FILTER(G:G, (G:G&lt;&gt;"")*(G:G&lt;&gt;0)))</f>
        <v>Model</v>
      </c>
    </row>
    <row r="2" spans="1:11" x14ac:dyDescent="0.2">
      <c r="A2" t="s">
        <v>97</v>
      </c>
      <c r="B2" t="s">
        <v>8</v>
      </c>
      <c r="C2" t="s">
        <v>9</v>
      </c>
      <c r="F2" t="s">
        <v>100</v>
      </c>
      <c r="G2" t="s">
        <v>10</v>
      </c>
      <c r="H2">
        <v>2024</v>
      </c>
      <c r="I2" s="2">
        <v>79679960</v>
      </c>
      <c r="K2" t="str">
        <v>EnSite X</v>
      </c>
    </row>
    <row r="3" spans="1:11" x14ac:dyDescent="0.2">
      <c r="A3" t="s">
        <v>97</v>
      </c>
      <c r="B3" t="s">
        <v>8</v>
      </c>
      <c r="C3" t="s">
        <v>9</v>
      </c>
      <c r="F3" t="s">
        <v>100</v>
      </c>
      <c r="G3" t="s">
        <v>11</v>
      </c>
      <c r="H3">
        <v>2024</v>
      </c>
      <c r="I3" s="2">
        <v>11191780</v>
      </c>
      <c r="K3" t="str">
        <v>EnSite Precision</v>
      </c>
    </row>
    <row r="4" spans="1:11" x14ac:dyDescent="0.2">
      <c r="A4" t="s">
        <v>97</v>
      </c>
      <c r="B4" t="s">
        <v>8</v>
      </c>
      <c r="C4" t="s">
        <v>9</v>
      </c>
      <c r="F4" t="s">
        <v>100</v>
      </c>
      <c r="G4" t="s">
        <v>12</v>
      </c>
      <c r="H4">
        <v>2024</v>
      </c>
      <c r="I4" s="2">
        <v>223390</v>
      </c>
      <c r="K4" t="str">
        <v>EnSite NavX</v>
      </c>
    </row>
    <row r="5" spans="1:11" x14ac:dyDescent="0.2">
      <c r="A5" t="s">
        <v>97</v>
      </c>
      <c r="B5" t="s">
        <v>8</v>
      </c>
      <c r="C5" t="s">
        <v>9</v>
      </c>
      <c r="F5" t="s">
        <v>100</v>
      </c>
      <c r="G5" t="s">
        <v>10</v>
      </c>
      <c r="H5">
        <v>2023</v>
      </c>
      <c r="I5" s="2">
        <v>51092740</v>
      </c>
      <c r="K5" t="str">
        <v>Rhythmia</v>
      </c>
    </row>
    <row r="6" spans="1:11" x14ac:dyDescent="0.2">
      <c r="A6" t="s">
        <v>97</v>
      </c>
      <c r="B6" t="s">
        <v>8</v>
      </c>
      <c r="C6" t="s">
        <v>9</v>
      </c>
      <c r="F6" t="s">
        <v>100</v>
      </c>
      <c r="G6" t="s">
        <v>11</v>
      </c>
      <c r="H6">
        <v>2023</v>
      </c>
      <c r="I6" s="2">
        <v>24532160</v>
      </c>
      <c r="K6" t="str">
        <v>Carto 3</v>
      </c>
    </row>
    <row r="7" spans="1:11" x14ac:dyDescent="0.2">
      <c r="A7" t="s">
        <v>97</v>
      </c>
      <c r="B7" t="s">
        <v>8</v>
      </c>
      <c r="C7" t="s">
        <v>9</v>
      </c>
      <c r="F7" t="s">
        <v>100</v>
      </c>
      <c r="G7" t="s">
        <v>12</v>
      </c>
      <c r="H7">
        <v>2023</v>
      </c>
      <c r="I7" s="2">
        <v>204750</v>
      </c>
      <c r="K7" t="str">
        <v>Affera</v>
      </c>
    </row>
    <row r="8" spans="1:11" x14ac:dyDescent="0.2">
      <c r="A8" t="s">
        <v>97</v>
      </c>
      <c r="B8" t="s">
        <v>8</v>
      </c>
      <c r="C8" t="s">
        <v>9</v>
      </c>
      <c r="F8" t="s">
        <v>100</v>
      </c>
      <c r="G8" t="s">
        <v>13</v>
      </c>
      <c r="H8">
        <v>2023</v>
      </c>
      <c r="I8" s="2">
        <v>20550</v>
      </c>
      <c r="K8" t="str">
        <v>Advisor HD Grid X</v>
      </c>
    </row>
    <row r="9" spans="1:11" x14ac:dyDescent="0.2">
      <c r="A9" t="s">
        <v>97</v>
      </c>
      <c r="B9" t="s">
        <v>8</v>
      </c>
      <c r="C9" t="s">
        <v>9</v>
      </c>
      <c r="F9" t="s">
        <v>100</v>
      </c>
      <c r="G9" t="s">
        <v>10</v>
      </c>
      <c r="H9">
        <v>2022</v>
      </c>
      <c r="I9" s="2">
        <v>25250070</v>
      </c>
      <c r="K9" t="str">
        <v>Advisor HD</v>
      </c>
    </row>
    <row r="10" spans="1:11" x14ac:dyDescent="0.2">
      <c r="A10" t="s">
        <v>97</v>
      </c>
      <c r="B10" t="s">
        <v>8</v>
      </c>
      <c r="C10" t="s">
        <v>9</v>
      </c>
      <c r="F10" t="s">
        <v>100</v>
      </c>
      <c r="G10" t="s">
        <v>11</v>
      </c>
      <c r="H10">
        <v>2022</v>
      </c>
      <c r="I10" s="2">
        <v>42594610</v>
      </c>
      <c r="K10" t="str">
        <v>Livewire</v>
      </c>
    </row>
    <row r="11" spans="1:11" x14ac:dyDescent="0.2">
      <c r="A11" t="s">
        <v>97</v>
      </c>
      <c r="B11" t="s">
        <v>8</v>
      </c>
      <c r="C11" t="s">
        <v>9</v>
      </c>
      <c r="F11" t="s">
        <v>100</v>
      </c>
      <c r="G11" t="s">
        <v>12</v>
      </c>
      <c r="H11">
        <v>2022</v>
      </c>
      <c r="I11" s="2">
        <v>253740</v>
      </c>
      <c r="K11" t="str">
        <v>FIRMap</v>
      </c>
    </row>
    <row r="12" spans="1:11" x14ac:dyDescent="0.2">
      <c r="A12" t="s">
        <v>97</v>
      </c>
      <c r="B12" t="s">
        <v>8</v>
      </c>
      <c r="C12" t="s">
        <v>9</v>
      </c>
      <c r="F12" t="s">
        <v>100</v>
      </c>
      <c r="G12" t="s">
        <v>13</v>
      </c>
      <c r="H12">
        <v>2022</v>
      </c>
      <c r="I12" s="2">
        <v>153270</v>
      </c>
      <c r="K12" t="str">
        <v>IntellaMap Orion</v>
      </c>
    </row>
    <row r="13" spans="1:11" x14ac:dyDescent="0.2">
      <c r="A13" t="s">
        <v>97</v>
      </c>
      <c r="B13" t="s">
        <v>8</v>
      </c>
      <c r="C13" t="s">
        <v>9</v>
      </c>
      <c r="F13" t="s">
        <v>101</v>
      </c>
      <c r="G13" t="s">
        <v>14</v>
      </c>
      <c r="H13">
        <v>2024</v>
      </c>
      <c r="I13" s="2">
        <v>3810280</v>
      </c>
      <c r="K13" t="str">
        <v>CONSTELLATION</v>
      </c>
    </row>
    <row r="14" spans="1:11" x14ac:dyDescent="0.2">
      <c r="A14" t="s">
        <v>97</v>
      </c>
      <c r="B14" t="s">
        <v>8</v>
      </c>
      <c r="C14" t="s">
        <v>9</v>
      </c>
      <c r="F14" t="s">
        <v>101</v>
      </c>
      <c r="G14" t="s">
        <v>14</v>
      </c>
      <c r="H14">
        <v>2023</v>
      </c>
      <c r="I14" s="2">
        <v>3137830</v>
      </c>
      <c r="K14" t="str">
        <v>Pentaray NAV eco</v>
      </c>
    </row>
    <row r="15" spans="1:11" x14ac:dyDescent="0.2">
      <c r="A15" t="s">
        <v>97</v>
      </c>
      <c r="B15" t="s">
        <v>8</v>
      </c>
      <c r="C15" t="s">
        <v>9</v>
      </c>
      <c r="F15" t="s">
        <v>101</v>
      </c>
      <c r="G15" t="s">
        <v>14</v>
      </c>
      <c r="H15">
        <v>2022</v>
      </c>
      <c r="I15" s="2">
        <v>2876790</v>
      </c>
      <c r="K15" t="str">
        <v>Optrell</v>
      </c>
    </row>
    <row r="16" spans="1:11" x14ac:dyDescent="0.2">
      <c r="A16" t="s">
        <v>97</v>
      </c>
      <c r="B16" t="s">
        <v>8</v>
      </c>
      <c r="C16" t="s">
        <v>9</v>
      </c>
      <c r="F16" t="s">
        <v>103</v>
      </c>
      <c r="G16" t="s">
        <v>15</v>
      </c>
      <c r="H16">
        <v>2024</v>
      </c>
      <c r="I16" s="2">
        <v>75274380</v>
      </c>
      <c r="K16" t="str">
        <v>OCTARAY</v>
      </c>
    </row>
    <row r="17" spans="1:11" x14ac:dyDescent="0.2">
      <c r="A17" t="s">
        <v>97</v>
      </c>
      <c r="B17" t="s">
        <v>8</v>
      </c>
      <c r="C17" t="s">
        <v>9</v>
      </c>
      <c r="F17" t="s">
        <v>103</v>
      </c>
      <c r="G17" t="s">
        <v>15</v>
      </c>
      <c r="H17">
        <v>2023</v>
      </c>
      <c r="I17" s="2">
        <v>63374780</v>
      </c>
      <c r="K17" t="str">
        <v>DECANAV</v>
      </c>
    </row>
    <row r="18" spans="1:11" x14ac:dyDescent="0.2">
      <c r="A18" t="s">
        <v>97</v>
      </c>
      <c r="B18" t="s">
        <v>8</v>
      </c>
      <c r="C18" t="s">
        <v>9</v>
      </c>
      <c r="F18" t="s">
        <v>103</v>
      </c>
      <c r="G18" t="s">
        <v>15</v>
      </c>
      <c r="H18">
        <v>2022</v>
      </c>
      <c r="I18" s="2">
        <v>53121150</v>
      </c>
      <c r="K18" t="str">
        <v>Reflexion Spiral</v>
      </c>
    </row>
    <row r="19" spans="1:11" x14ac:dyDescent="0.2">
      <c r="A19" t="s">
        <v>97</v>
      </c>
      <c r="B19" t="s">
        <v>8</v>
      </c>
      <c r="C19" t="s">
        <v>9</v>
      </c>
      <c r="F19" t="s">
        <v>102</v>
      </c>
      <c r="G19" t="s">
        <v>16</v>
      </c>
      <c r="H19">
        <v>2024</v>
      </c>
      <c r="I19" s="2">
        <v>386840</v>
      </c>
      <c r="K19" t="str">
        <v>Reflexion HD</v>
      </c>
    </row>
    <row r="20" spans="1:11" x14ac:dyDescent="0.2">
      <c r="A20" t="s">
        <v>97</v>
      </c>
      <c r="B20" t="s">
        <v>17</v>
      </c>
      <c r="C20" t="s">
        <v>18</v>
      </c>
      <c r="D20" t="s">
        <v>19</v>
      </c>
      <c r="F20" t="s">
        <v>100</v>
      </c>
      <c r="G20" t="s">
        <v>20</v>
      </c>
      <c r="H20">
        <v>2024</v>
      </c>
      <c r="I20" s="2">
        <v>313670</v>
      </c>
      <c r="K20" t="str">
        <v>Afocus</v>
      </c>
    </row>
    <row r="21" spans="1:11" x14ac:dyDescent="0.2">
      <c r="A21" t="s">
        <v>97</v>
      </c>
      <c r="B21" t="s">
        <v>17</v>
      </c>
      <c r="C21" t="s">
        <v>18</v>
      </c>
      <c r="D21" t="s">
        <v>19</v>
      </c>
      <c r="F21" t="s">
        <v>100</v>
      </c>
      <c r="G21" t="s">
        <v>21</v>
      </c>
      <c r="H21">
        <v>2024</v>
      </c>
      <c r="I21" s="2">
        <v>77878860</v>
      </c>
      <c r="K21" t="str">
        <v>Advisor VL</v>
      </c>
    </row>
    <row r="22" spans="1:11" x14ac:dyDescent="0.2">
      <c r="A22" t="s">
        <v>97</v>
      </c>
      <c r="B22" t="s">
        <v>17</v>
      </c>
      <c r="C22" t="s">
        <v>18</v>
      </c>
      <c r="D22" t="s">
        <v>19</v>
      </c>
      <c r="F22" t="s">
        <v>100</v>
      </c>
      <c r="G22" t="s">
        <v>22</v>
      </c>
      <c r="H22">
        <v>2023</v>
      </c>
      <c r="I22" s="2">
        <v>160</v>
      </c>
      <c r="K22" t="str">
        <v>Advisor FL</v>
      </c>
    </row>
    <row r="23" spans="1:11" x14ac:dyDescent="0.2">
      <c r="A23" t="s">
        <v>97</v>
      </c>
      <c r="B23" t="s">
        <v>17</v>
      </c>
      <c r="C23" t="s">
        <v>18</v>
      </c>
      <c r="D23" t="s">
        <v>19</v>
      </c>
      <c r="F23" t="s">
        <v>100</v>
      </c>
      <c r="G23" t="s">
        <v>23</v>
      </c>
      <c r="H23">
        <v>2023</v>
      </c>
      <c r="I23" s="2">
        <v>79340</v>
      </c>
      <c r="K23" t="str">
        <v>Optima</v>
      </c>
    </row>
    <row r="24" spans="1:11" x14ac:dyDescent="0.2">
      <c r="A24" t="s">
        <v>97</v>
      </c>
      <c r="B24" t="s">
        <v>17</v>
      </c>
      <c r="C24" t="s">
        <v>18</v>
      </c>
      <c r="D24" t="s">
        <v>19</v>
      </c>
      <c r="F24" t="s">
        <v>100</v>
      </c>
      <c r="G24" t="s">
        <v>21</v>
      </c>
      <c r="H24">
        <v>2023</v>
      </c>
      <c r="I24" s="2">
        <v>54928190</v>
      </c>
      <c r="K24" t="str">
        <v>POLARMAP</v>
      </c>
    </row>
    <row r="25" spans="1:11" x14ac:dyDescent="0.2">
      <c r="A25" t="s">
        <v>97</v>
      </c>
      <c r="B25" t="s">
        <v>17</v>
      </c>
      <c r="C25" t="s">
        <v>18</v>
      </c>
      <c r="D25" t="s">
        <v>19</v>
      </c>
      <c r="F25" t="s">
        <v>100</v>
      </c>
      <c r="G25" t="s">
        <v>22</v>
      </c>
      <c r="H25">
        <v>2022</v>
      </c>
      <c r="I25" s="2">
        <v>120</v>
      </c>
      <c r="K25" t="str">
        <v>Lasso Nav eco EO</v>
      </c>
    </row>
    <row r="26" spans="1:11" x14ac:dyDescent="0.2">
      <c r="A26" t="s">
        <v>97</v>
      </c>
      <c r="B26" t="s">
        <v>17</v>
      </c>
      <c r="C26" t="s">
        <v>18</v>
      </c>
      <c r="D26" t="s">
        <v>19</v>
      </c>
      <c r="F26" t="s">
        <v>100</v>
      </c>
      <c r="G26" t="s">
        <v>23</v>
      </c>
      <c r="H26">
        <v>2022</v>
      </c>
      <c r="I26" s="2">
        <v>271920</v>
      </c>
      <c r="K26" t="str">
        <v>Lasso Nav eco</v>
      </c>
    </row>
    <row r="27" spans="1:11" x14ac:dyDescent="0.2">
      <c r="A27" t="s">
        <v>97</v>
      </c>
      <c r="B27" t="s">
        <v>17</v>
      </c>
      <c r="C27" t="s">
        <v>18</v>
      </c>
      <c r="D27" t="s">
        <v>19</v>
      </c>
      <c r="F27" t="s">
        <v>100</v>
      </c>
      <c r="G27" t="s">
        <v>21</v>
      </c>
      <c r="H27">
        <v>2022</v>
      </c>
      <c r="I27" s="2">
        <v>46333200</v>
      </c>
      <c r="K27" t="str">
        <v>Lasso NAV</v>
      </c>
    </row>
    <row r="28" spans="1:11" x14ac:dyDescent="0.2">
      <c r="A28" t="s">
        <v>97</v>
      </c>
      <c r="B28" t="s">
        <v>17</v>
      </c>
      <c r="C28" t="s">
        <v>18</v>
      </c>
      <c r="D28" t="s">
        <v>19</v>
      </c>
      <c r="F28" t="s">
        <v>101</v>
      </c>
      <c r="G28" t="s">
        <v>24</v>
      </c>
      <c r="H28">
        <v>2024</v>
      </c>
      <c r="I28" s="2">
        <v>10124540</v>
      </c>
      <c r="K28" t="str">
        <v>Lasso 2515 Variable Circular</v>
      </c>
    </row>
    <row r="29" spans="1:11" x14ac:dyDescent="0.2">
      <c r="A29" t="s">
        <v>97</v>
      </c>
      <c r="B29" t="s">
        <v>17</v>
      </c>
      <c r="C29" t="s">
        <v>18</v>
      </c>
      <c r="D29" t="s">
        <v>19</v>
      </c>
      <c r="F29" t="s">
        <v>101</v>
      </c>
      <c r="G29" t="s">
        <v>24</v>
      </c>
      <c r="H29">
        <v>2023</v>
      </c>
      <c r="I29" s="2">
        <v>10072060</v>
      </c>
      <c r="K29" t="str">
        <v>Lasso 2515 Nav eco Variable</v>
      </c>
    </row>
    <row r="30" spans="1:11" x14ac:dyDescent="0.2">
      <c r="A30" t="s">
        <v>97</v>
      </c>
      <c r="B30" t="s">
        <v>17</v>
      </c>
      <c r="C30" t="s">
        <v>18</v>
      </c>
      <c r="D30" t="s">
        <v>19</v>
      </c>
      <c r="F30" t="s">
        <v>101</v>
      </c>
      <c r="G30" t="s">
        <v>24</v>
      </c>
      <c r="H30">
        <v>2022</v>
      </c>
      <c r="I30" s="2">
        <v>8951230</v>
      </c>
      <c r="K30" t="str">
        <v>Lasso</v>
      </c>
    </row>
    <row r="31" spans="1:11" x14ac:dyDescent="0.2">
      <c r="A31" t="s">
        <v>97</v>
      </c>
      <c r="B31" t="s">
        <v>17</v>
      </c>
      <c r="C31" t="s">
        <v>18</v>
      </c>
      <c r="D31" t="s">
        <v>19</v>
      </c>
      <c r="F31" t="s">
        <v>101</v>
      </c>
      <c r="G31" t="s">
        <v>25</v>
      </c>
      <c r="H31">
        <v>2022</v>
      </c>
      <c r="I31" s="2">
        <v>67260</v>
      </c>
      <c r="K31" t="str">
        <v>Achieve</v>
      </c>
    </row>
    <row r="32" spans="1:11" x14ac:dyDescent="0.2">
      <c r="A32" t="s">
        <v>97</v>
      </c>
      <c r="B32" t="s">
        <v>17</v>
      </c>
      <c r="C32" t="s">
        <v>18</v>
      </c>
      <c r="D32" t="s">
        <v>19</v>
      </c>
      <c r="F32" t="s">
        <v>103</v>
      </c>
      <c r="G32" t="s">
        <v>26</v>
      </c>
      <c r="H32">
        <v>2024</v>
      </c>
      <c r="I32" s="2">
        <v>47255160</v>
      </c>
      <c r="K32" t="str">
        <v>POLARx Fit ST</v>
      </c>
    </row>
    <row r="33" spans="1:11" x14ac:dyDescent="0.2">
      <c r="A33" t="s">
        <v>97</v>
      </c>
      <c r="B33" t="s">
        <v>17</v>
      </c>
      <c r="C33" t="s">
        <v>18</v>
      </c>
      <c r="D33" t="s">
        <v>19</v>
      </c>
      <c r="F33" t="s">
        <v>103</v>
      </c>
      <c r="G33" t="s">
        <v>27</v>
      </c>
      <c r="H33">
        <v>2024</v>
      </c>
      <c r="I33" s="2">
        <v>20151810</v>
      </c>
      <c r="K33" t="str">
        <v>POLARx Fit LT</v>
      </c>
    </row>
    <row r="34" spans="1:11" x14ac:dyDescent="0.2">
      <c r="A34" t="s">
        <v>97</v>
      </c>
      <c r="B34" t="s">
        <v>17</v>
      </c>
      <c r="C34" t="s">
        <v>18</v>
      </c>
      <c r="D34" t="s">
        <v>19</v>
      </c>
      <c r="F34" t="s">
        <v>103</v>
      </c>
      <c r="G34" t="s">
        <v>28</v>
      </c>
      <c r="H34">
        <v>2024</v>
      </c>
      <c r="I34" s="2">
        <v>178624450</v>
      </c>
      <c r="K34" t="str">
        <v>Freezor Xtra</v>
      </c>
    </row>
    <row r="35" spans="1:11" x14ac:dyDescent="0.2">
      <c r="A35" t="s">
        <v>97</v>
      </c>
      <c r="B35" t="s">
        <v>17</v>
      </c>
      <c r="C35" t="s">
        <v>18</v>
      </c>
      <c r="D35" t="s">
        <v>19</v>
      </c>
      <c r="F35" t="s">
        <v>103</v>
      </c>
      <c r="G35" t="s">
        <v>29</v>
      </c>
      <c r="H35">
        <v>2024</v>
      </c>
      <c r="I35" s="2">
        <v>52923000</v>
      </c>
      <c r="K35" t="str">
        <v>Freezor Max</v>
      </c>
    </row>
    <row r="36" spans="1:11" x14ac:dyDescent="0.2">
      <c r="A36" t="s">
        <v>97</v>
      </c>
      <c r="B36" t="s">
        <v>17</v>
      </c>
      <c r="C36" t="s">
        <v>18</v>
      </c>
      <c r="D36" t="s">
        <v>19</v>
      </c>
      <c r="F36" t="s">
        <v>103</v>
      </c>
      <c r="G36" t="s">
        <v>26</v>
      </c>
      <c r="H36">
        <v>2023</v>
      </c>
      <c r="I36" s="2">
        <v>60475060</v>
      </c>
      <c r="K36" t="str">
        <v>Freezor</v>
      </c>
    </row>
    <row r="37" spans="1:11" x14ac:dyDescent="0.2">
      <c r="A37" t="s">
        <v>97</v>
      </c>
      <c r="B37" t="s">
        <v>17</v>
      </c>
      <c r="C37" t="s">
        <v>18</v>
      </c>
      <c r="D37" t="s">
        <v>19</v>
      </c>
      <c r="F37" t="s">
        <v>103</v>
      </c>
      <c r="G37" t="s">
        <v>27</v>
      </c>
      <c r="H37">
        <v>2023</v>
      </c>
      <c r="I37" s="2">
        <v>14129430</v>
      </c>
      <c r="K37" t="str">
        <v>Arctic Front Advance Pro</v>
      </c>
    </row>
    <row r="38" spans="1:11" x14ac:dyDescent="0.2">
      <c r="A38" t="s">
        <v>97</v>
      </c>
      <c r="B38" t="s">
        <v>17</v>
      </c>
      <c r="C38" t="s">
        <v>18</v>
      </c>
      <c r="D38" t="s">
        <v>19</v>
      </c>
      <c r="F38" t="s">
        <v>103</v>
      </c>
      <c r="G38" t="s">
        <v>28</v>
      </c>
      <c r="H38">
        <v>2023</v>
      </c>
      <c r="I38" s="2">
        <v>130810390</v>
      </c>
      <c r="K38" t="str">
        <v>Arctic Front Advance</v>
      </c>
    </row>
    <row r="39" spans="1:11" x14ac:dyDescent="0.2">
      <c r="A39" t="s">
        <v>97</v>
      </c>
      <c r="B39" t="s">
        <v>17</v>
      </c>
      <c r="C39" t="s">
        <v>18</v>
      </c>
      <c r="D39" t="s">
        <v>19</v>
      </c>
      <c r="F39" t="s">
        <v>103</v>
      </c>
      <c r="G39" t="s">
        <v>29</v>
      </c>
      <c r="H39">
        <v>2023</v>
      </c>
      <c r="I39" s="2">
        <v>43951590</v>
      </c>
      <c r="K39" t="str">
        <v>Arctic Front</v>
      </c>
    </row>
    <row r="40" spans="1:11" x14ac:dyDescent="0.2">
      <c r="A40" t="s">
        <v>97</v>
      </c>
      <c r="B40" t="s">
        <v>17</v>
      </c>
      <c r="C40" t="s">
        <v>18</v>
      </c>
      <c r="D40" t="s">
        <v>19</v>
      </c>
      <c r="F40" t="s">
        <v>103</v>
      </c>
      <c r="G40" t="s">
        <v>26</v>
      </c>
      <c r="H40">
        <v>2022</v>
      </c>
      <c r="I40" s="2">
        <v>105124720</v>
      </c>
      <c r="K40" t="str">
        <v>FaraWave Nav</v>
      </c>
    </row>
    <row r="41" spans="1:11" x14ac:dyDescent="0.2">
      <c r="A41" t="s">
        <v>97</v>
      </c>
      <c r="B41" t="s">
        <v>17</v>
      </c>
      <c r="C41" t="s">
        <v>18</v>
      </c>
      <c r="D41" t="s">
        <v>19</v>
      </c>
      <c r="F41" t="s">
        <v>103</v>
      </c>
      <c r="G41" t="s">
        <v>27</v>
      </c>
      <c r="H41">
        <v>2022</v>
      </c>
      <c r="I41" s="2">
        <v>732200</v>
      </c>
      <c r="K41" t="str">
        <v>FaraWave</v>
      </c>
    </row>
    <row r="42" spans="1:11" x14ac:dyDescent="0.2">
      <c r="A42" t="s">
        <v>97</v>
      </c>
      <c r="B42" t="s">
        <v>17</v>
      </c>
      <c r="C42" t="s">
        <v>18</v>
      </c>
      <c r="D42" t="s">
        <v>19</v>
      </c>
      <c r="F42" t="s">
        <v>103</v>
      </c>
      <c r="G42" t="s">
        <v>28</v>
      </c>
      <c r="H42">
        <v>2022</v>
      </c>
      <c r="I42" s="2">
        <v>40335290</v>
      </c>
      <c r="K42" t="str">
        <v>Farapoint</v>
      </c>
    </row>
    <row r="43" spans="1:11" x14ac:dyDescent="0.2">
      <c r="A43" t="s">
        <v>97</v>
      </c>
      <c r="B43" t="s">
        <v>17</v>
      </c>
      <c r="C43" t="s">
        <v>18</v>
      </c>
      <c r="D43" t="s">
        <v>19</v>
      </c>
      <c r="F43" t="s">
        <v>103</v>
      </c>
      <c r="G43" t="s">
        <v>29</v>
      </c>
      <c r="H43">
        <v>2022</v>
      </c>
      <c r="I43" s="2">
        <v>33955890</v>
      </c>
      <c r="K43" t="str">
        <v>Varipulse</v>
      </c>
    </row>
    <row r="44" spans="1:11" x14ac:dyDescent="0.2">
      <c r="A44" t="s">
        <v>97</v>
      </c>
      <c r="B44" t="s">
        <v>17</v>
      </c>
      <c r="C44" t="s">
        <v>18</v>
      </c>
      <c r="D44" t="s">
        <v>30</v>
      </c>
      <c r="F44" t="s">
        <v>100</v>
      </c>
      <c r="G44" t="s">
        <v>31</v>
      </c>
      <c r="H44">
        <v>2024</v>
      </c>
      <c r="I44" s="2">
        <v>197850</v>
      </c>
      <c r="K44" t="str">
        <v>Sphere-9</v>
      </c>
    </row>
    <row r="45" spans="1:11" x14ac:dyDescent="0.2">
      <c r="A45" t="s">
        <v>97</v>
      </c>
      <c r="B45" t="s">
        <v>17</v>
      </c>
      <c r="C45" t="s">
        <v>18</v>
      </c>
      <c r="D45" t="s">
        <v>30</v>
      </c>
      <c r="F45" t="s">
        <v>100</v>
      </c>
      <c r="G45" t="s">
        <v>32</v>
      </c>
      <c r="H45">
        <v>2024</v>
      </c>
      <c r="I45" s="2">
        <v>3890</v>
      </c>
      <c r="K45" t="str">
        <v>PulseSelect</v>
      </c>
    </row>
    <row r="46" spans="1:11" x14ac:dyDescent="0.2">
      <c r="A46" t="s">
        <v>97</v>
      </c>
      <c r="B46" t="s">
        <v>17</v>
      </c>
      <c r="C46" t="s">
        <v>18</v>
      </c>
      <c r="D46" t="s">
        <v>30</v>
      </c>
      <c r="F46" t="s">
        <v>100</v>
      </c>
      <c r="G46" t="s">
        <v>33</v>
      </c>
      <c r="H46">
        <v>2024</v>
      </c>
      <c r="I46" s="2">
        <v>1018350</v>
      </c>
      <c r="K46" t="str">
        <v>Therapy Cool Path</v>
      </c>
    </row>
    <row r="47" spans="1:11" x14ac:dyDescent="0.2">
      <c r="A47" t="s">
        <v>97</v>
      </c>
      <c r="B47" t="s">
        <v>17</v>
      </c>
      <c r="C47" t="s">
        <v>18</v>
      </c>
      <c r="D47" t="s">
        <v>30</v>
      </c>
      <c r="F47" t="s">
        <v>100</v>
      </c>
      <c r="G47" t="s">
        <v>34</v>
      </c>
      <c r="H47">
        <v>2024</v>
      </c>
      <c r="I47" s="2">
        <v>2649850</v>
      </c>
      <c r="K47" t="str">
        <v>TactiFlex</v>
      </c>
    </row>
    <row r="48" spans="1:11" x14ac:dyDescent="0.2">
      <c r="A48" t="s">
        <v>97</v>
      </c>
      <c r="B48" t="s">
        <v>17</v>
      </c>
      <c r="C48" t="s">
        <v>18</v>
      </c>
      <c r="D48" t="s">
        <v>30</v>
      </c>
      <c r="F48" t="s">
        <v>100</v>
      </c>
      <c r="G48" t="s">
        <v>35</v>
      </c>
      <c r="H48">
        <v>2024</v>
      </c>
      <c r="I48" s="2">
        <v>1534110</v>
      </c>
      <c r="K48" t="str">
        <v>TactiCath Sensor Enabled</v>
      </c>
    </row>
    <row r="49" spans="1:11" x14ac:dyDescent="0.2">
      <c r="A49" t="s">
        <v>97</v>
      </c>
      <c r="B49" t="s">
        <v>17</v>
      </c>
      <c r="C49" t="s">
        <v>18</v>
      </c>
      <c r="D49" t="s">
        <v>30</v>
      </c>
      <c r="F49" t="s">
        <v>100</v>
      </c>
      <c r="G49" t="s">
        <v>31</v>
      </c>
      <c r="H49">
        <v>2023</v>
      </c>
      <c r="I49" s="2">
        <v>436170</v>
      </c>
      <c r="K49" t="str">
        <v>FlexAbility SE</v>
      </c>
    </row>
    <row r="50" spans="1:11" x14ac:dyDescent="0.2">
      <c r="A50" t="s">
        <v>97</v>
      </c>
      <c r="B50" t="s">
        <v>17</v>
      </c>
      <c r="C50" t="s">
        <v>18</v>
      </c>
      <c r="D50" t="s">
        <v>30</v>
      </c>
      <c r="F50" t="s">
        <v>100</v>
      </c>
      <c r="G50" t="s">
        <v>32</v>
      </c>
      <c r="H50">
        <v>2023</v>
      </c>
      <c r="I50" s="2">
        <v>7950</v>
      </c>
      <c r="K50" t="str">
        <v>FlexAbility</v>
      </c>
    </row>
    <row r="51" spans="1:11" x14ac:dyDescent="0.2">
      <c r="A51" t="s">
        <v>97</v>
      </c>
      <c r="B51" t="s">
        <v>17</v>
      </c>
      <c r="C51" t="s">
        <v>18</v>
      </c>
      <c r="D51" t="s">
        <v>30</v>
      </c>
      <c r="F51" t="s">
        <v>100</v>
      </c>
      <c r="G51" t="s">
        <v>36</v>
      </c>
      <c r="H51">
        <v>2023</v>
      </c>
      <c r="I51" s="2">
        <v>34270</v>
      </c>
      <c r="K51" t="str">
        <v>TactiCath Quartz</v>
      </c>
    </row>
    <row r="52" spans="1:11" x14ac:dyDescent="0.2">
      <c r="A52" t="s">
        <v>97</v>
      </c>
      <c r="B52" t="s">
        <v>17</v>
      </c>
      <c r="C52" t="s">
        <v>18</v>
      </c>
      <c r="D52" t="s">
        <v>30</v>
      </c>
      <c r="F52" t="s">
        <v>100</v>
      </c>
      <c r="G52" t="s">
        <v>33</v>
      </c>
      <c r="H52">
        <v>2023</v>
      </c>
      <c r="I52" s="2">
        <v>375670</v>
      </c>
      <c r="K52" t="str">
        <v>TactiCath</v>
      </c>
    </row>
    <row r="53" spans="1:11" x14ac:dyDescent="0.2">
      <c r="A53" t="s">
        <v>97</v>
      </c>
      <c r="B53" t="s">
        <v>17</v>
      </c>
      <c r="C53" t="s">
        <v>18</v>
      </c>
      <c r="D53" t="s">
        <v>30</v>
      </c>
      <c r="F53" t="s">
        <v>100</v>
      </c>
      <c r="G53" t="s">
        <v>34</v>
      </c>
      <c r="H53">
        <v>2023</v>
      </c>
      <c r="I53" s="2">
        <v>2087000</v>
      </c>
      <c r="K53" t="str">
        <v>IntellaTip MIFI OI</v>
      </c>
    </row>
    <row r="54" spans="1:11" x14ac:dyDescent="0.2">
      <c r="A54" t="s">
        <v>97</v>
      </c>
      <c r="B54" t="s">
        <v>17</v>
      </c>
      <c r="C54" t="s">
        <v>18</v>
      </c>
      <c r="D54" t="s">
        <v>30</v>
      </c>
      <c r="F54" t="s">
        <v>100</v>
      </c>
      <c r="G54" t="s">
        <v>35</v>
      </c>
      <c r="H54">
        <v>2023</v>
      </c>
      <c r="I54" s="2">
        <v>720960</v>
      </c>
      <c r="K54" t="str">
        <v>Intellanav OI</v>
      </c>
    </row>
    <row r="55" spans="1:11" x14ac:dyDescent="0.2">
      <c r="A55" t="s">
        <v>97</v>
      </c>
      <c r="B55" t="s">
        <v>17</v>
      </c>
      <c r="C55" t="s">
        <v>18</v>
      </c>
      <c r="D55" t="s">
        <v>30</v>
      </c>
      <c r="F55" t="s">
        <v>100</v>
      </c>
      <c r="G55" t="s">
        <v>31</v>
      </c>
      <c r="H55">
        <v>2022</v>
      </c>
      <c r="I55" s="2">
        <v>1243120</v>
      </c>
      <c r="K55" t="str">
        <v>Intellanav MIFI OI</v>
      </c>
    </row>
    <row r="56" spans="1:11" x14ac:dyDescent="0.2">
      <c r="A56" t="s">
        <v>97</v>
      </c>
      <c r="B56" t="s">
        <v>17</v>
      </c>
      <c r="C56" t="s">
        <v>18</v>
      </c>
      <c r="D56" t="s">
        <v>30</v>
      </c>
      <c r="F56" t="s">
        <v>100</v>
      </c>
      <c r="G56" t="s">
        <v>32</v>
      </c>
      <c r="H56">
        <v>2022</v>
      </c>
      <c r="I56" s="2">
        <v>91800</v>
      </c>
      <c r="K56" t="str">
        <v>BLAZER Open Irrigated</v>
      </c>
    </row>
    <row r="57" spans="1:11" x14ac:dyDescent="0.2">
      <c r="A57" t="s">
        <v>97</v>
      </c>
      <c r="B57" t="s">
        <v>17</v>
      </c>
      <c r="C57" t="s">
        <v>18</v>
      </c>
      <c r="D57" t="s">
        <v>30</v>
      </c>
      <c r="F57" t="s">
        <v>100</v>
      </c>
      <c r="G57" t="s">
        <v>36</v>
      </c>
      <c r="H57">
        <v>2022</v>
      </c>
      <c r="I57" s="2">
        <v>148000</v>
      </c>
      <c r="K57" t="str">
        <v>ThermoCool SmartTouch SF</v>
      </c>
    </row>
    <row r="58" spans="1:11" x14ac:dyDescent="0.2">
      <c r="A58" t="s">
        <v>97</v>
      </c>
      <c r="B58" t="s">
        <v>17</v>
      </c>
      <c r="C58" t="s">
        <v>18</v>
      </c>
      <c r="D58" t="s">
        <v>30</v>
      </c>
      <c r="F58" t="s">
        <v>100</v>
      </c>
      <c r="G58" t="s">
        <v>33</v>
      </c>
      <c r="H58">
        <v>2022</v>
      </c>
      <c r="I58" s="2">
        <v>625810</v>
      </c>
      <c r="K58" t="str">
        <v>ThermoCool SmartTouch</v>
      </c>
    </row>
    <row r="59" spans="1:11" x14ac:dyDescent="0.2">
      <c r="A59" t="s">
        <v>97</v>
      </c>
      <c r="B59" t="s">
        <v>17</v>
      </c>
      <c r="C59" t="s">
        <v>18</v>
      </c>
      <c r="D59" t="s">
        <v>30</v>
      </c>
      <c r="F59" t="s">
        <v>100</v>
      </c>
      <c r="G59" t="s">
        <v>34</v>
      </c>
      <c r="H59">
        <v>2022</v>
      </c>
      <c r="I59" s="2">
        <v>1774430</v>
      </c>
      <c r="K59" t="str">
        <v>ThermoCool SF NAV</v>
      </c>
    </row>
    <row r="60" spans="1:11" x14ac:dyDescent="0.2">
      <c r="A60" t="s">
        <v>97</v>
      </c>
      <c r="B60" t="s">
        <v>17</v>
      </c>
      <c r="C60" t="s">
        <v>18</v>
      </c>
      <c r="D60" t="s">
        <v>30</v>
      </c>
      <c r="F60" t="s">
        <v>100</v>
      </c>
      <c r="G60" t="s">
        <v>35</v>
      </c>
      <c r="H60">
        <v>2022</v>
      </c>
      <c r="I60" s="2">
        <v>749270</v>
      </c>
      <c r="K60" t="str">
        <v>ThermoCool SF</v>
      </c>
    </row>
    <row r="61" spans="1:11" x14ac:dyDescent="0.2">
      <c r="A61" t="s">
        <v>97</v>
      </c>
      <c r="B61" t="s">
        <v>17</v>
      </c>
      <c r="C61" t="s">
        <v>18</v>
      </c>
      <c r="D61" t="s">
        <v>30</v>
      </c>
      <c r="F61" t="s">
        <v>101</v>
      </c>
      <c r="G61" t="s">
        <v>37</v>
      </c>
      <c r="H61">
        <v>2024</v>
      </c>
      <c r="I61" s="2">
        <v>1294850</v>
      </c>
      <c r="K61" t="str">
        <v>QDOT</v>
      </c>
    </row>
    <row r="62" spans="1:11" x14ac:dyDescent="0.2">
      <c r="A62" t="s">
        <v>97</v>
      </c>
      <c r="B62" t="s">
        <v>17</v>
      </c>
      <c r="C62" t="s">
        <v>18</v>
      </c>
      <c r="D62" t="s">
        <v>30</v>
      </c>
      <c r="F62" t="s">
        <v>101</v>
      </c>
      <c r="G62" t="s">
        <v>37</v>
      </c>
      <c r="H62">
        <v>2023</v>
      </c>
      <c r="I62" s="2">
        <v>1207150</v>
      </c>
      <c r="K62" t="str">
        <v>NaviStar ThermoCool</v>
      </c>
    </row>
    <row r="63" spans="1:11" x14ac:dyDescent="0.2">
      <c r="A63" t="s">
        <v>97</v>
      </c>
      <c r="B63" t="s">
        <v>17</v>
      </c>
      <c r="C63" t="s">
        <v>18</v>
      </c>
      <c r="D63" t="s">
        <v>30</v>
      </c>
      <c r="F63" t="s">
        <v>101</v>
      </c>
      <c r="G63" t="s">
        <v>37</v>
      </c>
      <c r="H63">
        <v>2022</v>
      </c>
      <c r="I63" s="2">
        <v>8550</v>
      </c>
      <c r="K63" t="str">
        <v>NaviStar RMT ThermoCool</v>
      </c>
    </row>
    <row r="64" spans="1:11" x14ac:dyDescent="0.2">
      <c r="A64" t="s">
        <v>97</v>
      </c>
      <c r="B64" t="s">
        <v>17</v>
      </c>
      <c r="C64" t="s">
        <v>18</v>
      </c>
      <c r="D64" t="s">
        <v>30</v>
      </c>
      <c r="F64" t="s">
        <v>103</v>
      </c>
      <c r="G64" t="s">
        <v>38</v>
      </c>
      <c r="H64">
        <v>2024</v>
      </c>
      <c r="I64" s="2">
        <v>381890</v>
      </c>
      <c r="K64" t="str">
        <v>EZ Steer ThermoCool NAV</v>
      </c>
    </row>
    <row r="65" spans="1:11" x14ac:dyDescent="0.2">
      <c r="A65" t="s">
        <v>97</v>
      </c>
      <c r="B65" t="s">
        <v>17</v>
      </c>
      <c r="C65" t="s">
        <v>18</v>
      </c>
      <c r="D65" t="s">
        <v>30</v>
      </c>
      <c r="F65" t="s">
        <v>103</v>
      </c>
      <c r="G65" t="s">
        <v>39</v>
      </c>
      <c r="H65">
        <v>2024</v>
      </c>
      <c r="I65" s="2">
        <v>738460</v>
      </c>
      <c r="K65" t="str">
        <v>EZ Steer ThermoCool</v>
      </c>
    </row>
    <row r="66" spans="1:11" x14ac:dyDescent="0.2">
      <c r="A66" t="s">
        <v>97</v>
      </c>
      <c r="B66" t="s">
        <v>17</v>
      </c>
      <c r="C66" t="s">
        <v>18</v>
      </c>
      <c r="D66" t="s">
        <v>30</v>
      </c>
      <c r="F66" t="s">
        <v>103</v>
      </c>
      <c r="G66" t="s">
        <v>40</v>
      </c>
      <c r="H66">
        <v>2024</v>
      </c>
      <c r="I66" s="2">
        <v>537890</v>
      </c>
      <c r="K66" t="str">
        <v>Celsius ThermoCool RMT</v>
      </c>
    </row>
    <row r="67" spans="1:11" x14ac:dyDescent="0.2">
      <c r="A67" t="s">
        <v>97</v>
      </c>
      <c r="B67" t="s">
        <v>17</v>
      </c>
      <c r="C67" t="s">
        <v>18</v>
      </c>
      <c r="D67" t="s">
        <v>30</v>
      </c>
      <c r="F67" t="s">
        <v>103</v>
      </c>
      <c r="G67" t="s">
        <v>41</v>
      </c>
      <c r="H67">
        <v>2024</v>
      </c>
      <c r="I67" s="2">
        <v>178670</v>
      </c>
      <c r="K67" t="str">
        <v>Celsius ThermoCool</v>
      </c>
    </row>
    <row r="68" spans="1:11" x14ac:dyDescent="0.2">
      <c r="A68" t="s">
        <v>97</v>
      </c>
      <c r="B68" t="s">
        <v>17</v>
      </c>
      <c r="C68" t="s">
        <v>18</v>
      </c>
      <c r="D68" t="s">
        <v>30</v>
      </c>
      <c r="F68" t="s">
        <v>103</v>
      </c>
      <c r="G68" t="s">
        <v>42</v>
      </c>
      <c r="H68">
        <v>2024</v>
      </c>
      <c r="I68" s="2">
        <v>5857780</v>
      </c>
      <c r="K68" t="str">
        <v>DiamondTemp</v>
      </c>
    </row>
    <row r="69" spans="1:11" x14ac:dyDescent="0.2">
      <c r="A69" t="s">
        <v>97</v>
      </c>
      <c r="B69" t="s">
        <v>17</v>
      </c>
      <c r="C69" t="s">
        <v>18</v>
      </c>
      <c r="D69" t="s">
        <v>30</v>
      </c>
      <c r="F69" t="s">
        <v>103</v>
      </c>
      <c r="G69" t="s">
        <v>43</v>
      </c>
      <c r="H69">
        <v>2024</v>
      </c>
      <c r="I69" s="2">
        <v>67150</v>
      </c>
      <c r="K69" t="str">
        <v>ViewFlex Plus</v>
      </c>
    </row>
    <row r="70" spans="1:11" x14ac:dyDescent="0.2">
      <c r="A70" t="s">
        <v>97</v>
      </c>
      <c r="B70" t="s">
        <v>17</v>
      </c>
      <c r="C70" t="s">
        <v>18</v>
      </c>
      <c r="D70" t="s">
        <v>30</v>
      </c>
      <c r="F70" t="s">
        <v>103</v>
      </c>
      <c r="G70" t="s">
        <v>38</v>
      </c>
      <c r="H70">
        <v>2023</v>
      </c>
      <c r="I70" s="2">
        <v>434030</v>
      </c>
      <c r="K70" t="str">
        <v>ULTRA ICE Plus</v>
      </c>
    </row>
    <row r="71" spans="1:11" x14ac:dyDescent="0.2">
      <c r="A71" t="s">
        <v>97</v>
      </c>
      <c r="B71" t="s">
        <v>17</v>
      </c>
      <c r="C71" t="s">
        <v>18</v>
      </c>
      <c r="D71" t="s">
        <v>30</v>
      </c>
      <c r="F71" t="s">
        <v>103</v>
      </c>
      <c r="G71" t="s">
        <v>39</v>
      </c>
      <c r="H71">
        <v>2023</v>
      </c>
      <c r="I71" s="2">
        <v>1022730</v>
      </c>
      <c r="K71" t="str">
        <v>SoundStar eco</v>
      </c>
    </row>
    <row r="72" spans="1:11" x14ac:dyDescent="0.2">
      <c r="A72" t="s">
        <v>97</v>
      </c>
      <c r="B72" t="s">
        <v>17</v>
      </c>
      <c r="C72" t="s">
        <v>18</v>
      </c>
      <c r="D72" t="s">
        <v>30</v>
      </c>
      <c r="F72" t="s">
        <v>103</v>
      </c>
      <c r="G72" t="s">
        <v>40</v>
      </c>
      <c r="H72">
        <v>2023</v>
      </c>
      <c r="I72" s="2">
        <v>526140</v>
      </c>
      <c r="K72" t="str">
        <v>SoundStar Crystal</v>
      </c>
    </row>
    <row r="73" spans="1:11" x14ac:dyDescent="0.2">
      <c r="A73" t="s">
        <v>97</v>
      </c>
      <c r="B73" t="s">
        <v>17</v>
      </c>
      <c r="C73" t="s">
        <v>18</v>
      </c>
      <c r="D73" t="s">
        <v>30</v>
      </c>
      <c r="F73" t="s">
        <v>103</v>
      </c>
      <c r="G73" t="s">
        <v>41</v>
      </c>
      <c r="H73">
        <v>2023</v>
      </c>
      <c r="I73" s="2">
        <v>435520</v>
      </c>
      <c r="K73" t="str">
        <v>SoundStar</v>
      </c>
    </row>
    <row r="74" spans="1:11" x14ac:dyDescent="0.2">
      <c r="A74" t="s">
        <v>97</v>
      </c>
      <c r="B74" t="s">
        <v>17</v>
      </c>
      <c r="C74" t="s">
        <v>18</v>
      </c>
      <c r="D74" t="s">
        <v>30</v>
      </c>
      <c r="F74" t="s">
        <v>103</v>
      </c>
      <c r="G74" t="s">
        <v>42</v>
      </c>
      <c r="H74">
        <v>2023</v>
      </c>
      <c r="I74" s="2">
        <v>7143870</v>
      </c>
      <c r="K74" t="str">
        <v>ACUNAV</v>
      </c>
    </row>
    <row r="75" spans="1:11" x14ac:dyDescent="0.2">
      <c r="A75" t="s">
        <v>97</v>
      </c>
      <c r="B75" t="s">
        <v>17</v>
      </c>
      <c r="C75" t="s">
        <v>18</v>
      </c>
      <c r="D75" t="s">
        <v>30</v>
      </c>
      <c r="F75" t="s">
        <v>103</v>
      </c>
      <c r="G75" t="s">
        <v>43</v>
      </c>
      <c r="H75">
        <v>2023</v>
      </c>
      <c r="I75" s="2">
        <v>117290</v>
      </c>
      <c r="K75" t="str">
        <v>NuVision Catheter</v>
      </c>
    </row>
    <row r="76" spans="1:11" x14ac:dyDescent="0.2">
      <c r="A76" t="s">
        <v>97</v>
      </c>
      <c r="B76" t="s">
        <v>17</v>
      </c>
      <c r="C76" t="s">
        <v>18</v>
      </c>
      <c r="D76" t="s">
        <v>30</v>
      </c>
      <c r="F76" t="s">
        <v>103</v>
      </c>
      <c r="G76" t="s">
        <v>38</v>
      </c>
      <c r="H76">
        <v>2022</v>
      </c>
      <c r="I76" s="2">
        <v>355450</v>
      </c>
      <c r="K76" t="str">
        <v>NuVision</v>
      </c>
    </row>
    <row r="77" spans="1:11" x14ac:dyDescent="0.2">
      <c r="A77" t="s">
        <v>97</v>
      </c>
      <c r="B77" t="s">
        <v>17</v>
      </c>
      <c r="C77" t="s">
        <v>18</v>
      </c>
      <c r="D77" t="s">
        <v>30</v>
      </c>
      <c r="F77" t="s">
        <v>103</v>
      </c>
      <c r="G77" t="s">
        <v>39</v>
      </c>
      <c r="H77">
        <v>2022</v>
      </c>
      <c r="I77" s="2">
        <v>1189790</v>
      </c>
    </row>
    <row r="78" spans="1:11" x14ac:dyDescent="0.2">
      <c r="A78" t="s">
        <v>97</v>
      </c>
      <c r="B78" t="s">
        <v>17</v>
      </c>
      <c r="C78" t="s">
        <v>18</v>
      </c>
      <c r="D78" t="s">
        <v>30</v>
      </c>
      <c r="F78" t="s">
        <v>103</v>
      </c>
      <c r="G78" t="s">
        <v>40</v>
      </c>
      <c r="H78">
        <v>2022</v>
      </c>
      <c r="I78" s="2">
        <v>59250</v>
      </c>
    </row>
    <row r="79" spans="1:11" x14ac:dyDescent="0.2">
      <c r="A79" t="s">
        <v>97</v>
      </c>
      <c r="B79" t="s">
        <v>17</v>
      </c>
      <c r="C79" t="s">
        <v>18</v>
      </c>
      <c r="D79" t="s">
        <v>30</v>
      </c>
      <c r="F79" t="s">
        <v>103</v>
      </c>
      <c r="G79" t="s">
        <v>41</v>
      </c>
      <c r="H79">
        <v>2022</v>
      </c>
      <c r="I79" s="2">
        <v>590750</v>
      </c>
    </row>
    <row r="80" spans="1:11" x14ac:dyDescent="0.2">
      <c r="A80" t="s">
        <v>97</v>
      </c>
      <c r="B80" t="s">
        <v>17</v>
      </c>
      <c r="C80" t="s">
        <v>18</v>
      </c>
      <c r="D80" t="s">
        <v>30</v>
      </c>
      <c r="F80" t="s">
        <v>103</v>
      </c>
      <c r="G80" t="s">
        <v>42</v>
      </c>
      <c r="H80">
        <v>2022</v>
      </c>
      <c r="I80" s="2">
        <v>10004540</v>
      </c>
    </row>
    <row r="81" spans="1:9" x14ac:dyDescent="0.2">
      <c r="A81" t="s">
        <v>97</v>
      </c>
      <c r="B81" t="s">
        <v>17</v>
      </c>
      <c r="C81" t="s">
        <v>18</v>
      </c>
      <c r="D81" t="s">
        <v>30</v>
      </c>
      <c r="F81" t="s">
        <v>103</v>
      </c>
      <c r="G81" t="s">
        <v>43</v>
      </c>
      <c r="H81">
        <v>2022</v>
      </c>
      <c r="I81" s="2">
        <v>125020</v>
      </c>
    </row>
    <row r="82" spans="1:9" x14ac:dyDescent="0.2">
      <c r="A82" t="s">
        <v>97</v>
      </c>
      <c r="B82" t="s">
        <v>17</v>
      </c>
      <c r="C82" t="s">
        <v>18</v>
      </c>
      <c r="D82" t="s">
        <v>30</v>
      </c>
      <c r="F82" t="s">
        <v>102</v>
      </c>
      <c r="G82" t="s">
        <v>44</v>
      </c>
      <c r="H82">
        <v>2024</v>
      </c>
      <c r="I82" s="2">
        <v>13239870</v>
      </c>
    </row>
    <row r="83" spans="1:9" x14ac:dyDescent="0.2">
      <c r="A83" t="s">
        <v>97</v>
      </c>
      <c r="B83" t="s">
        <v>17</v>
      </c>
      <c r="C83" t="s">
        <v>18</v>
      </c>
      <c r="D83" t="s">
        <v>30</v>
      </c>
      <c r="F83" t="s">
        <v>102</v>
      </c>
      <c r="G83" t="s">
        <v>44</v>
      </c>
      <c r="H83">
        <v>2023</v>
      </c>
      <c r="I83" s="2">
        <v>23162650</v>
      </c>
    </row>
    <row r="84" spans="1:9" x14ac:dyDescent="0.2">
      <c r="A84" t="s">
        <v>97</v>
      </c>
      <c r="B84" t="s">
        <v>17</v>
      </c>
      <c r="C84" t="s">
        <v>18</v>
      </c>
      <c r="D84" t="s">
        <v>30</v>
      </c>
      <c r="F84" t="s">
        <v>102</v>
      </c>
      <c r="G84" t="s">
        <v>44</v>
      </c>
      <c r="H84">
        <v>2022</v>
      </c>
      <c r="I84" s="2">
        <v>22554970</v>
      </c>
    </row>
    <row r="85" spans="1:9" x14ac:dyDescent="0.2">
      <c r="A85" t="s">
        <v>97</v>
      </c>
      <c r="B85" t="s">
        <v>45</v>
      </c>
      <c r="C85" t="s">
        <v>18</v>
      </c>
      <c r="E85" t="s">
        <v>46</v>
      </c>
      <c r="F85" t="s">
        <v>101</v>
      </c>
      <c r="G85" t="s">
        <v>47</v>
      </c>
      <c r="H85">
        <v>2024</v>
      </c>
      <c r="I85" s="2">
        <v>6932970</v>
      </c>
    </row>
    <row r="86" spans="1:9" x14ac:dyDescent="0.2">
      <c r="A86" t="s">
        <v>97</v>
      </c>
      <c r="B86" t="s">
        <v>45</v>
      </c>
      <c r="C86" t="s">
        <v>18</v>
      </c>
      <c r="E86" t="s">
        <v>46</v>
      </c>
      <c r="F86" t="s">
        <v>101</v>
      </c>
      <c r="G86" t="s">
        <v>48</v>
      </c>
      <c r="H86">
        <v>2024</v>
      </c>
      <c r="I86" s="2">
        <v>464940</v>
      </c>
    </row>
    <row r="87" spans="1:9" x14ac:dyDescent="0.2">
      <c r="A87" t="s">
        <v>97</v>
      </c>
      <c r="B87" t="s">
        <v>45</v>
      </c>
      <c r="C87" t="s">
        <v>18</v>
      </c>
      <c r="E87" t="s">
        <v>46</v>
      </c>
      <c r="F87" t="s">
        <v>101</v>
      </c>
      <c r="G87" t="s">
        <v>47</v>
      </c>
      <c r="H87">
        <v>2023</v>
      </c>
      <c r="I87" s="2">
        <v>5616740</v>
      </c>
    </row>
    <row r="88" spans="1:9" x14ac:dyDescent="0.2">
      <c r="A88" t="s">
        <v>97</v>
      </c>
      <c r="B88" t="s">
        <v>45</v>
      </c>
      <c r="C88" t="s">
        <v>18</v>
      </c>
      <c r="E88" t="s">
        <v>46</v>
      </c>
      <c r="F88" t="s">
        <v>101</v>
      </c>
      <c r="G88" t="s">
        <v>48</v>
      </c>
      <c r="H88">
        <v>2023</v>
      </c>
      <c r="I88" s="2">
        <v>1022390</v>
      </c>
    </row>
    <row r="89" spans="1:9" x14ac:dyDescent="0.2">
      <c r="A89" t="s">
        <v>97</v>
      </c>
      <c r="B89" t="s">
        <v>45</v>
      </c>
      <c r="C89" t="s">
        <v>18</v>
      </c>
      <c r="E89" t="s">
        <v>46</v>
      </c>
      <c r="F89" t="s">
        <v>101</v>
      </c>
      <c r="G89" t="s">
        <v>47</v>
      </c>
      <c r="H89">
        <v>2022</v>
      </c>
      <c r="I89" s="2">
        <v>31890</v>
      </c>
    </row>
    <row r="90" spans="1:9" x14ac:dyDescent="0.2">
      <c r="A90" t="s">
        <v>97</v>
      </c>
      <c r="B90" t="s">
        <v>45</v>
      </c>
      <c r="C90" t="s">
        <v>18</v>
      </c>
      <c r="E90" t="s">
        <v>46</v>
      </c>
      <c r="F90" t="s">
        <v>101</v>
      </c>
      <c r="G90" t="s">
        <v>48</v>
      </c>
      <c r="H90">
        <v>2022</v>
      </c>
      <c r="I90" s="2">
        <v>90170</v>
      </c>
    </row>
    <row r="91" spans="1:9" x14ac:dyDescent="0.2">
      <c r="A91" t="s">
        <v>97</v>
      </c>
      <c r="B91" t="s">
        <v>45</v>
      </c>
      <c r="C91" t="s">
        <v>18</v>
      </c>
      <c r="E91" t="s">
        <v>46</v>
      </c>
      <c r="F91" t="s">
        <v>102</v>
      </c>
      <c r="G91" t="s">
        <v>49</v>
      </c>
      <c r="H91">
        <v>2024</v>
      </c>
      <c r="I91" s="2">
        <v>2827190</v>
      </c>
    </row>
    <row r="92" spans="1:9" x14ac:dyDescent="0.2">
      <c r="A92" t="s">
        <v>97</v>
      </c>
      <c r="B92" t="s">
        <v>45</v>
      </c>
      <c r="C92" t="s">
        <v>18</v>
      </c>
      <c r="E92" t="s">
        <v>46</v>
      </c>
      <c r="F92" t="s">
        <v>102</v>
      </c>
      <c r="G92" t="s">
        <v>50</v>
      </c>
      <c r="H92">
        <v>2024</v>
      </c>
      <c r="I92" s="2">
        <v>926850</v>
      </c>
    </row>
    <row r="93" spans="1:9" x14ac:dyDescent="0.2">
      <c r="A93" t="s">
        <v>97</v>
      </c>
      <c r="B93" t="s">
        <v>45</v>
      </c>
      <c r="C93" t="s">
        <v>18</v>
      </c>
      <c r="E93" t="s">
        <v>46</v>
      </c>
      <c r="F93" t="s">
        <v>102</v>
      </c>
      <c r="G93" t="s">
        <v>51</v>
      </c>
      <c r="H93">
        <v>2024</v>
      </c>
      <c r="I93" s="2">
        <v>473000</v>
      </c>
    </row>
    <row r="94" spans="1:9" x14ac:dyDescent="0.2">
      <c r="A94" t="s">
        <v>97</v>
      </c>
      <c r="B94" t="s">
        <v>45</v>
      </c>
      <c r="C94" t="s">
        <v>18</v>
      </c>
      <c r="E94" t="s">
        <v>46</v>
      </c>
      <c r="F94" t="s">
        <v>102</v>
      </c>
      <c r="G94" t="s">
        <v>52</v>
      </c>
      <c r="H94">
        <v>2024</v>
      </c>
      <c r="I94" s="2">
        <v>66606150</v>
      </c>
    </row>
    <row r="95" spans="1:9" x14ac:dyDescent="0.2">
      <c r="A95" t="s">
        <v>97</v>
      </c>
      <c r="B95" t="s">
        <v>45</v>
      </c>
      <c r="C95" t="s">
        <v>18</v>
      </c>
      <c r="E95" t="s">
        <v>46</v>
      </c>
      <c r="F95" t="s">
        <v>102</v>
      </c>
      <c r="G95" t="s">
        <v>53</v>
      </c>
      <c r="H95">
        <v>2024</v>
      </c>
      <c r="I95" s="2">
        <v>10448680</v>
      </c>
    </row>
    <row r="96" spans="1:9" x14ac:dyDescent="0.2">
      <c r="A96" t="s">
        <v>97</v>
      </c>
      <c r="B96" t="s">
        <v>45</v>
      </c>
      <c r="C96" t="s">
        <v>18</v>
      </c>
      <c r="E96" t="s">
        <v>46</v>
      </c>
      <c r="F96" t="s">
        <v>102</v>
      </c>
      <c r="G96" t="s">
        <v>49</v>
      </c>
      <c r="H96">
        <v>2023</v>
      </c>
      <c r="I96" s="2">
        <v>2777550</v>
      </c>
    </row>
    <row r="97" spans="1:9" x14ac:dyDescent="0.2">
      <c r="A97" t="s">
        <v>97</v>
      </c>
      <c r="B97" t="s">
        <v>45</v>
      </c>
      <c r="C97" t="s">
        <v>18</v>
      </c>
      <c r="E97" t="s">
        <v>46</v>
      </c>
      <c r="F97" t="s">
        <v>102</v>
      </c>
      <c r="G97" t="s">
        <v>50</v>
      </c>
      <c r="H97">
        <v>2023</v>
      </c>
      <c r="I97" s="2">
        <v>942340</v>
      </c>
    </row>
    <row r="98" spans="1:9" x14ac:dyDescent="0.2">
      <c r="A98" t="s">
        <v>97</v>
      </c>
      <c r="B98" t="s">
        <v>45</v>
      </c>
      <c r="C98" t="s">
        <v>18</v>
      </c>
      <c r="E98" t="s">
        <v>46</v>
      </c>
      <c r="F98" t="s">
        <v>102</v>
      </c>
      <c r="G98" t="s">
        <v>51</v>
      </c>
      <c r="H98">
        <v>2023</v>
      </c>
      <c r="I98" s="2">
        <v>929310</v>
      </c>
    </row>
    <row r="99" spans="1:9" x14ac:dyDescent="0.2">
      <c r="A99" t="s">
        <v>97</v>
      </c>
      <c r="B99" t="s">
        <v>45</v>
      </c>
      <c r="C99" t="s">
        <v>18</v>
      </c>
      <c r="E99" t="s">
        <v>46</v>
      </c>
      <c r="F99" t="s">
        <v>102</v>
      </c>
      <c r="G99" t="s">
        <v>52</v>
      </c>
      <c r="H99">
        <v>2023</v>
      </c>
      <c r="I99" s="2">
        <v>108465210</v>
      </c>
    </row>
    <row r="100" spans="1:9" x14ac:dyDescent="0.2">
      <c r="A100" t="s">
        <v>97</v>
      </c>
      <c r="B100" t="s">
        <v>45</v>
      </c>
      <c r="C100" t="s">
        <v>18</v>
      </c>
      <c r="E100" t="s">
        <v>46</v>
      </c>
      <c r="F100" t="s">
        <v>102</v>
      </c>
      <c r="G100" t="s">
        <v>53</v>
      </c>
      <c r="H100">
        <v>2023</v>
      </c>
      <c r="I100" s="2">
        <v>20441760</v>
      </c>
    </row>
    <row r="101" spans="1:9" x14ac:dyDescent="0.2">
      <c r="A101" t="s">
        <v>97</v>
      </c>
      <c r="B101" t="s">
        <v>45</v>
      </c>
      <c r="C101" t="s">
        <v>18</v>
      </c>
      <c r="E101" t="s">
        <v>46</v>
      </c>
      <c r="F101" t="s">
        <v>102</v>
      </c>
      <c r="G101" t="s">
        <v>54</v>
      </c>
      <c r="H101">
        <v>2023</v>
      </c>
      <c r="I101" s="2">
        <v>19720</v>
      </c>
    </row>
    <row r="102" spans="1:9" x14ac:dyDescent="0.2">
      <c r="A102" t="s">
        <v>97</v>
      </c>
      <c r="B102" t="s">
        <v>45</v>
      </c>
      <c r="C102" t="s">
        <v>18</v>
      </c>
      <c r="E102" t="s">
        <v>46</v>
      </c>
      <c r="F102" t="s">
        <v>102</v>
      </c>
      <c r="G102" t="s">
        <v>49</v>
      </c>
      <c r="H102">
        <v>2022</v>
      </c>
      <c r="I102" s="2">
        <v>723000</v>
      </c>
    </row>
    <row r="103" spans="1:9" x14ac:dyDescent="0.2">
      <c r="A103" t="s">
        <v>97</v>
      </c>
      <c r="B103" t="s">
        <v>45</v>
      </c>
      <c r="C103" t="s">
        <v>18</v>
      </c>
      <c r="E103" t="s">
        <v>46</v>
      </c>
      <c r="F103" t="s">
        <v>102</v>
      </c>
      <c r="G103" t="s">
        <v>50</v>
      </c>
      <c r="H103">
        <v>2022</v>
      </c>
      <c r="I103" s="2">
        <v>975080</v>
      </c>
    </row>
    <row r="104" spans="1:9" x14ac:dyDescent="0.2">
      <c r="A104" t="s">
        <v>97</v>
      </c>
      <c r="B104" t="s">
        <v>45</v>
      </c>
      <c r="C104" t="s">
        <v>18</v>
      </c>
      <c r="E104" t="s">
        <v>46</v>
      </c>
      <c r="F104" t="s">
        <v>102</v>
      </c>
      <c r="G104" t="s">
        <v>51</v>
      </c>
      <c r="H104">
        <v>2022</v>
      </c>
      <c r="I104" s="2">
        <v>2865920</v>
      </c>
    </row>
    <row r="105" spans="1:9" x14ac:dyDescent="0.2">
      <c r="A105" t="s">
        <v>97</v>
      </c>
      <c r="B105" t="s">
        <v>45</v>
      </c>
      <c r="C105" t="s">
        <v>18</v>
      </c>
      <c r="E105" t="s">
        <v>46</v>
      </c>
      <c r="F105" t="s">
        <v>102</v>
      </c>
      <c r="G105" t="s">
        <v>52</v>
      </c>
      <c r="H105">
        <v>2022</v>
      </c>
      <c r="I105" s="2">
        <v>95370390</v>
      </c>
    </row>
    <row r="106" spans="1:9" x14ac:dyDescent="0.2">
      <c r="A106" t="s">
        <v>97</v>
      </c>
      <c r="B106" t="s">
        <v>45</v>
      </c>
      <c r="C106" t="s">
        <v>18</v>
      </c>
      <c r="E106" t="s">
        <v>46</v>
      </c>
      <c r="F106" t="s">
        <v>102</v>
      </c>
      <c r="G106" t="s">
        <v>53</v>
      </c>
      <c r="H106">
        <v>2022</v>
      </c>
      <c r="I106" s="2">
        <v>27022320</v>
      </c>
    </row>
    <row r="107" spans="1:9" x14ac:dyDescent="0.2">
      <c r="A107" t="s">
        <v>97</v>
      </c>
      <c r="B107" t="s">
        <v>45</v>
      </c>
      <c r="C107" t="s">
        <v>18</v>
      </c>
      <c r="E107" t="s">
        <v>55</v>
      </c>
      <c r="F107" t="s">
        <v>101</v>
      </c>
      <c r="G107" t="s">
        <v>56</v>
      </c>
      <c r="H107">
        <v>2024</v>
      </c>
      <c r="I107" s="2">
        <v>4924670</v>
      </c>
    </row>
    <row r="108" spans="1:9" x14ac:dyDescent="0.2">
      <c r="A108" t="s">
        <v>97</v>
      </c>
      <c r="B108" t="s">
        <v>45</v>
      </c>
      <c r="C108" t="s">
        <v>18</v>
      </c>
      <c r="E108" t="s">
        <v>55</v>
      </c>
      <c r="F108" t="s">
        <v>101</v>
      </c>
      <c r="G108" t="s">
        <v>57</v>
      </c>
      <c r="H108">
        <v>2024</v>
      </c>
      <c r="I108" s="2">
        <v>382421150</v>
      </c>
    </row>
    <row r="109" spans="1:9" x14ac:dyDescent="0.2">
      <c r="A109" t="s">
        <v>97</v>
      </c>
      <c r="B109" t="s">
        <v>45</v>
      </c>
      <c r="C109" t="s">
        <v>18</v>
      </c>
      <c r="E109" t="s">
        <v>55</v>
      </c>
      <c r="F109" t="s">
        <v>101</v>
      </c>
      <c r="G109" t="s">
        <v>58</v>
      </c>
      <c r="H109">
        <v>2024</v>
      </c>
      <c r="I109" s="2">
        <v>62620</v>
      </c>
    </row>
    <row r="110" spans="1:9" x14ac:dyDescent="0.2">
      <c r="A110" t="s">
        <v>97</v>
      </c>
      <c r="B110" t="s">
        <v>45</v>
      </c>
      <c r="C110" t="s">
        <v>18</v>
      </c>
      <c r="E110" t="s">
        <v>55</v>
      </c>
      <c r="F110" t="s">
        <v>101</v>
      </c>
      <c r="G110" t="s">
        <v>57</v>
      </c>
      <c r="H110">
        <v>2023</v>
      </c>
      <c r="I110" s="2">
        <v>197720</v>
      </c>
    </row>
    <row r="111" spans="1:9" x14ac:dyDescent="0.2">
      <c r="A111" t="s">
        <v>97</v>
      </c>
      <c r="B111" t="s">
        <v>45</v>
      </c>
      <c r="C111" t="s">
        <v>18</v>
      </c>
      <c r="E111" t="s">
        <v>55</v>
      </c>
      <c r="F111" t="s">
        <v>103</v>
      </c>
      <c r="G111" t="s">
        <v>59</v>
      </c>
      <c r="H111">
        <v>2024</v>
      </c>
      <c r="I111" s="2">
        <v>1099380</v>
      </c>
    </row>
    <row r="112" spans="1:9" x14ac:dyDescent="0.2">
      <c r="A112" t="s">
        <v>97</v>
      </c>
      <c r="B112" t="s">
        <v>45</v>
      </c>
      <c r="C112" t="s">
        <v>18</v>
      </c>
      <c r="E112" t="s">
        <v>55</v>
      </c>
      <c r="F112" t="s">
        <v>102</v>
      </c>
      <c r="G112" t="s">
        <v>60</v>
      </c>
      <c r="H112">
        <v>2024</v>
      </c>
      <c r="I112" s="2">
        <v>2431870</v>
      </c>
    </row>
    <row r="113" spans="1:9" x14ac:dyDescent="0.2">
      <c r="A113" t="s">
        <v>97</v>
      </c>
      <c r="B113" t="s">
        <v>45</v>
      </c>
      <c r="C113" t="s">
        <v>18</v>
      </c>
      <c r="E113" t="s">
        <v>55</v>
      </c>
      <c r="F113" t="s">
        <v>102</v>
      </c>
      <c r="G113" t="s">
        <v>61</v>
      </c>
      <c r="H113">
        <v>2024</v>
      </c>
      <c r="I113" s="2">
        <v>56454910</v>
      </c>
    </row>
    <row r="114" spans="1:9" x14ac:dyDescent="0.2">
      <c r="A114" t="s">
        <v>97</v>
      </c>
      <c r="B114" t="s">
        <v>45</v>
      </c>
      <c r="C114" t="s">
        <v>18</v>
      </c>
      <c r="E114" t="s">
        <v>62</v>
      </c>
      <c r="F114" t="s">
        <v>100</v>
      </c>
      <c r="G114" t="s">
        <v>63</v>
      </c>
      <c r="H114">
        <v>2024</v>
      </c>
      <c r="I114" s="2">
        <v>11720</v>
      </c>
    </row>
    <row r="115" spans="1:9" x14ac:dyDescent="0.2">
      <c r="A115" t="s">
        <v>97</v>
      </c>
      <c r="B115" t="s">
        <v>45</v>
      </c>
      <c r="C115" t="s">
        <v>18</v>
      </c>
      <c r="E115" t="s">
        <v>62</v>
      </c>
      <c r="F115" t="s">
        <v>100</v>
      </c>
      <c r="G115" t="s">
        <v>64</v>
      </c>
      <c r="H115">
        <v>2024</v>
      </c>
      <c r="I115" s="2">
        <v>113058100</v>
      </c>
    </row>
    <row r="116" spans="1:9" x14ac:dyDescent="0.2">
      <c r="A116" t="s">
        <v>97</v>
      </c>
      <c r="B116" t="s">
        <v>45</v>
      </c>
      <c r="C116" t="s">
        <v>18</v>
      </c>
      <c r="E116" t="s">
        <v>62</v>
      </c>
      <c r="F116" t="s">
        <v>100</v>
      </c>
      <c r="G116" t="s">
        <v>65</v>
      </c>
      <c r="H116">
        <v>2024</v>
      </c>
      <c r="I116" s="2">
        <v>39908470</v>
      </c>
    </row>
    <row r="117" spans="1:9" x14ac:dyDescent="0.2">
      <c r="A117" t="s">
        <v>97</v>
      </c>
      <c r="B117" t="s">
        <v>45</v>
      </c>
      <c r="C117" t="s">
        <v>18</v>
      </c>
      <c r="E117" t="s">
        <v>62</v>
      </c>
      <c r="F117" t="s">
        <v>100</v>
      </c>
      <c r="G117" t="s">
        <v>66</v>
      </c>
      <c r="H117">
        <v>2024</v>
      </c>
      <c r="I117" s="2">
        <v>3580870</v>
      </c>
    </row>
    <row r="118" spans="1:9" x14ac:dyDescent="0.2">
      <c r="A118" t="s">
        <v>97</v>
      </c>
      <c r="B118" t="s">
        <v>45</v>
      </c>
      <c r="C118" t="s">
        <v>18</v>
      </c>
      <c r="E118" t="s">
        <v>62</v>
      </c>
      <c r="F118" t="s">
        <v>100</v>
      </c>
      <c r="G118" t="s">
        <v>67</v>
      </c>
      <c r="H118">
        <v>2024</v>
      </c>
      <c r="I118" s="2">
        <v>3523780</v>
      </c>
    </row>
    <row r="119" spans="1:9" x14ac:dyDescent="0.2">
      <c r="A119" t="s">
        <v>97</v>
      </c>
      <c r="B119" t="s">
        <v>45</v>
      </c>
      <c r="C119" t="s">
        <v>18</v>
      </c>
      <c r="E119" t="s">
        <v>62</v>
      </c>
      <c r="F119" t="s">
        <v>100</v>
      </c>
      <c r="G119" t="s">
        <v>63</v>
      </c>
      <c r="H119">
        <v>2023</v>
      </c>
      <c r="I119" s="2">
        <v>10130</v>
      </c>
    </row>
    <row r="120" spans="1:9" x14ac:dyDescent="0.2">
      <c r="A120" t="s">
        <v>97</v>
      </c>
      <c r="B120" t="s">
        <v>45</v>
      </c>
      <c r="C120" t="s">
        <v>18</v>
      </c>
      <c r="E120" t="s">
        <v>62</v>
      </c>
      <c r="F120" t="s">
        <v>100</v>
      </c>
      <c r="G120" t="s">
        <v>64</v>
      </c>
      <c r="H120">
        <v>2023</v>
      </c>
      <c r="I120" s="2">
        <v>31860600</v>
      </c>
    </row>
    <row r="121" spans="1:9" x14ac:dyDescent="0.2">
      <c r="A121" t="s">
        <v>97</v>
      </c>
      <c r="B121" t="s">
        <v>45</v>
      </c>
      <c r="C121" t="s">
        <v>18</v>
      </c>
      <c r="E121" t="s">
        <v>62</v>
      </c>
      <c r="F121" t="s">
        <v>100</v>
      </c>
      <c r="G121" t="s">
        <v>65</v>
      </c>
      <c r="H121">
        <v>2023</v>
      </c>
      <c r="I121" s="2">
        <v>90938180</v>
      </c>
    </row>
    <row r="122" spans="1:9" x14ac:dyDescent="0.2">
      <c r="A122" t="s">
        <v>97</v>
      </c>
      <c r="B122" t="s">
        <v>45</v>
      </c>
      <c r="C122" t="s">
        <v>18</v>
      </c>
      <c r="E122" t="s">
        <v>62</v>
      </c>
      <c r="F122" t="s">
        <v>100</v>
      </c>
      <c r="G122" t="s">
        <v>68</v>
      </c>
      <c r="H122">
        <v>2023</v>
      </c>
      <c r="I122" s="2">
        <v>74160</v>
      </c>
    </row>
    <row r="123" spans="1:9" x14ac:dyDescent="0.2">
      <c r="A123" t="s">
        <v>97</v>
      </c>
      <c r="B123" t="s">
        <v>45</v>
      </c>
      <c r="C123" t="s">
        <v>18</v>
      </c>
      <c r="E123" t="s">
        <v>62</v>
      </c>
      <c r="F123" t="s">
        <v>100</v>
      </c>
      <c r="G123" t="s">
        <v>69</v>
      </c>
      <c r="H123">
        <v>2023</v>
      </c>
      <c r="I123" s="2">
        <v>690</v>
      </c>
    </row>
    <row r="124" spans="1:9" x14ac:dyDescent="0.2">
      <c r="A124" t="s">
        <v>97</v>
      </c>
      <c r="B124" t="s">
        <v>45</v>
      </c>
      <c r="C124" t="s">
        <v>18</v>
      </c>
      <c r="E124" t="s">
        <v>62</v>
      </c>
      <c r="F124" t="s">
        <v>100</v>
      </c>
      <c r="G124" t="s">
        <v>66</v>
      </c>
      <c r="H124">
        <v>2023</v>
      </c>
      <c r="I124" s="2">
        <v>4947910</v>
      </c>
    </row>
    <row r="125" spans="1:9" x14ac:dyDescent="0.2">
      <c r="A125" t="s">
        <v>97</v>
      </c>
      <c r="B125" t="s">
        <v>45</v>
      </c>
      <c r="C125" t="s">
        <v>18</v>
      </c>
      <c r="E125" t="s">
        <v>62</v>
      </c>
      <c r="F125" t="s">
        <v>100</v>
      </c>
      <c r="G125" t="s">
        <v>67</v>
      </c>
      <c r="H125">
        <v>2023</v>
      </c>
      <c r="I125" s="2">
        <v>4627830</v>
      </c>
    </row>
    <row r="126" spans="1:9" x14ac:dyDescent="0.2">
      <c r="A126" t="s">
        <v>97</v>
      </c>
      <c r="B126" t="s">
        <v>45</v>
      </c>
      <c r="C126" t="s">
        <v>18</v>
      </c>
      <c r="E126" t="s">
        <v>62</v>
      </c>
      <c r="F126" t="s">
        <v>100</v>
      </c>
      <c r="G126" t="s">
        <v>63</v>
      </c>
      <c r="H126">
        <v>2022</v>
      </c>
      <c r="I126" s="2">
        <v>61970</v>
      </c>
    </row>
    <row r="127" spans="1:9" x14ac:dyDescent="0.2">
      <c r="A127" t="s">
        <v>97</v>
      </c>
      <c r="B127" t="s">
        <v>45</v>
      </c>
      <c r="C127" t="s">
        <v>18</v>
      </c>
      <c r="E127" t="s">
        <v>62</v>
      </c>
      <c r="F127" t="s">
        <v>100</v>
      </c>
      <c r="G127" t="s">
        <v>65</v>
      </c>
      <c r="H127">
        <v>2022</v>
      </c>
      <c r="I127" s="2">
        <v>96117010</v>
      </c>
    </row>
    <row r="128" spans="1:9" x14ac:dyDescent="0.2">
      <c r="A128" t="s">
        <v>97</v>
      </c>
      <c r="B128" t="s">
        <v>45</v>
      </c>
      <c r="C128" t="s">
        <v>18</v>
      </c>
      <c r="E128" t="s">
        <v>62</v>
      </c>
      <c r="F128" t="s">
        <v>100</v>
      </c>
      <c r="G128" t="s">
        <v>68</v>
      </c>
      <c r="H128">
        <v>2022</v>
      </c>
      <c r="I128" s="2">
        <v>155430</v>
      </c>
    </row>
    <row r="129" spans="1:9" x14ac:dyDescent="0.2">
      <c r="A129" t="s">
        <v>97</v>
      </c>
      <c r="B129" t="s">
        <v>45</v>
      </c>
      <c r="C129" t="s">
        <v>18</v>
      </c>
      <c r="E129" t="s">
        <v>62</v>
      </c>
      <c r="F129" t="s">
        <v>100</v>
      </c>
      <c r="G129" t="s">
        <v>69</v>
      </c>
      <c r="H129">
        <v>2022</v>
      </c>
      <c r="I129" s="2">
        <v>1710</v>
      </c>
    </row>
    <row r="130" spans="1:9" x14ac:dyDescent="0.2">
      <c r="A130" t="s">
        <v>97</v>
      </c>
      <c r="B130" t="s">
        <v>45</v>
      </c>
      <c r="C130" t="s">
        <v>18</v>
      </c>
      <c r="E130" t="s">
        <v>62</v>
      </c>
      <c r="F130" t="s">
        <v>100</v>
      </c>
      <c r="G130" t="s">
        <v>66</v>
      </c>
      <c r="H130">
        <v>2022</v>
      </c>
      <c r="I130" s="2">
        <v>5723640</v>
      </c>
    </row>
    <row r="131" spans="1:9" x14ac:dyDescent="0.2">
      <c r="A131" t="s">
        <v>97</v>
      </c>
      <c r="B131" t="s">
        <v>45</v>
      </c>
      <c r="C131" t="s">
        <v>18</v>
      </c>
      <c r="E131" t="s">
        <v>62</v>
      </c>
      <c r="F131" t="s">
        <v>100</v>
      </c>
      <c r="G131" t="s">
        <v>67</v>
      </c>
      <c r="H131">
        <v>2022</v>
      </c>
      <c r="I131" s="2">
        <v>5427430</v>
      </c>
    </row>
    <row r="132" spans="1:9" x14ac:dyDescent="0.2">
      <c r="A132" t="s">
        <v>97</v>
      </c>
      <c r="B132" t="s">
        <v>45</v>
      </c>
      <c r="C132" t="s">
        <v>18</v>
      </c>
      <c r="E132" t="s">
        <v>62</v>
      </c>
      <c r="F132" t="s">
        <v>101</v>
      </c>
      <c r="G132" t="s">
        <v>70</v>
      </c>
      <c r="H132">
        <v>2024</v>
      </c>
      <c r="I132" s="2">
        <v>226020</v>
      </c>
    </row>
    <row r="133" spans="1:9" x14ac:dyDescent="0.2">
      <c r="A133" t="s">
        <v>97</v>
      </c>
      <c r="B133" t="s">
        <v>45</v>
      </c>
      <c r="C133" t="s">
        <v>18</v>
      </c>
      <c r="E133" t="s">
        <v>62</v>
      </c>
      <c r="F133" t="s">
        <v>101</v>
      </c>
      <c r="G133" t="s">
        <v>71</v>
      </c>
      <c r="H133">
        <v>2024</v>
      </c>
      <c r="I133" s="2">
        <v>50190</v>
      </c>
    </row>
    <row r="134" spans="1:9" x14ac:dyDescent="0.2">
      <c r="A134" t="s">
        <v>97</v>
      </c>
      <c r="B134" t="s">
        <v>45</v>
      </c>
      <c r="C134" t="s">
        <v>18</v>
      </c>
      <c r="E134" t="s">
        <v>62</v>
      </c>
      <c r="F134" t="s">
        <v>101</v>
      </c>
      <c r="G134" t="s">
        <v>72</v>
      </c>
      <c r="H134">
        <v>2024</v>
      </c>
      <c r="I134" s="2">
        <v>6129820</v>
      </c>
    </row>
    <row r="135" spans="1:9" x14ac:dyDescent="0.2">
      <c r="A135" t="s">
        <v>97</v>
      </c>
      <c r="B135" t="s">
        <v>45</v>
      </c>
      <c r="C135" t="s">
        <v>18</v>
      </c>
      <c r="E135" t="s">
        <v>62</v>
      </c>
      <c r="F135" t="s">
        <v>101</v>
      </c>
      <c r="G135" t="s">
        <v>73</v>
      </c>
      <c r="H135">
        <v>2024</v>
      </c>
      <c r="I135" s="2">
        <v>90240</v>
      </c>
    </row>
    <row r="136" spans="1:9" x14ac:dyDescent="0.2">
      <c r="A136" t="s">
        <v>97</v>
      </c>
      <c r="B136" t="s">
        <v>45</v>
      </c>
      <c r="C136" t="s">
        <v>18</v>
      </c>
      <c r="E136" t="s">
        <v>62</v>
      </c>
      <c r="F136" t="s">
        <v>101</v>
      </c>
      <c r="G136" t="s">
        <v>70</v>
      </c>
      <c r="H136">
        <v>2023</v>
      </c>
      <c r="I136" s="2">
        <v>311950</v>
      </c>
    </row>
    <row r="137" spans="1:9" x14ac:dyDescent="0.2">
      <c r="A137" t="s">
        <v>97</v>
      </c>
      <c r="B137" t="s">
        <v>45</v>
      </c>
      <c r="C137" t="s">
        <v>18</v>
      </c>
      <c r="E137" t="s">
        <v>62</v>
      </c>
      <c r="F137" t="s">
        <v>101</v>
      </c>
      <c r="G137" t="s">
        <v>71</v>
      </c>
      <c r="H137">
        <v>2023</v>
      </c>
      <c r="I137" s="2">
        <v>85320</v>
      </c>
    </row>
    <row r="138" spans="1:9" x14ac:dyDescent="0.2">
      <c r="A138" t="s">
        <v>97</v>
      </c>
      <c r="B138" t="s">
        <v>45</v>
      </c>
      <c r="C138" t="s">
        <v>18</v>
      </c>
      <c r="E138" t="s">
        <v>62</v>
      </c>
      <c r="F138" t="s">
        <v>101</v>
      </c>
      <c r="G138" t="s">
        <v>72</v>
      </c>
      <c r="H138">
        <v>2023</v>
      </c>
      <c r="I138" s="2">
        <v>9237790</v>
      </c>
    </row>
    <row r="139" spans="1:9" x14ac:dyDescent="0.2">
      <c r="A139" t="s">
        <v>97</v>
      </c>
      <c r="B139" t="s">
        <v>45</v>
      </c>
      <c r="C139" t="s">
        <v>18</v>
      </c>
      <c r="E139" t="s">
        <v>62</v>
      </c>
      <c r="F139" t="s">
        <v>101</v>
      </c>
      <c r="G139" t="s">
        <v>73</v>
      </c>
      <c r="H139">
        <v>2023</v>
      </c>
      <c r="I139" s="2">
        <v>57290</v>
      </c>
    </row>
    <row r="140" spans="1:9" x14ac:dyDescent="0.2">
      <c r="A140" t="s">
        <v>97</v>
      </c>
      <c r="B140" t="s">
        <v>45</v>
      </c>
      <c r="C140" t="s">
        <v>18</v>
      </c>
      <c r="E140" t="s">
        <v>62</v>
      </c>
      <c r="F140" t="s">
        <v>101</v>
      </c>
      <c r="G140" t="s">
        <v>70</v>
      </c>
      <c r="H140">
        <v>2022</v>
      </c>
      <c r="I140" s="2">
        <v>457730</v>
      </c>
    </row>
    <row r="141" spans="1:9" x14ac:dyDescent="0.2">
      <c r="A141" t="s">
        <v>97</v>
      </c>
      <c r="B141" t="s">
        <v>45</v>
      </c>
      <c r="C141" t="s">
        <v>18</v>
      </c>
      <c r="E141" t="s">
        <v>62</v>
      </c>
      <c r="F141" t="s">
        <v>101</v>
      </c>
      <c r="G141" t="s">
        <v>71</v>
      </c>
      <c r="H141">
        <v>2022</v>
      </c>
      <c r="I141" s="2">
        <v>197780</v>
      </c>
    </row>
    <row r="142" spans="1:9" x14ac:dyDescent="0.2">
      <c r="A142" t="s">
        <v>97</v>
      </c>
      <c r="B142" t="s">
        <v>45</v>
      </c>
      <c r="C142" t="s">
        <v>18</v>
      </c>
      <c r="E142" t="s">
        <v>62</v>
      </c>
      <c r="F142" t="s">
        <v>101</v>
      </c>
      <c r="G142" t="s">
        <v>72</v>
      </c>
      <c r="H142">
        <v>2022</v>
      </c>
      <c r="I142" s="2">
        <v>9780080</v>
      </c>
    </row>
    <row r="143" spans="1:9" x14ac:dyDescent="0.2">
      <c r="A143" t="s">
        <v>97</v>
      </c>
      <c r="B143" t="s">
        <v>45</v>
      </c>
      <c r="C143" t="s">
        <v>18</v>
      </c>
      <c r="E143" t="s">
        <v>62</v>
      </c>
      <c r="F143" t="s">
        <v>101</v>
      </c>
      <c r="G143" t="s">
        <v>73</v>
      </c>
      <c r="H143">
        <v>2022</v>
      </c>
      <c r="I143" s="2">
        <v>68710</v>
      </c>
    </row>
    <row r="144" spans="1:9" x14ac:dyDescent="0.2">
      <c r="A144" t="s">
        <v>97</v>
      </c>
      <c r="B144" t="s">
        <v>45</v>
      </c>
      <c r="C144" t="s">
        <v>18</v>
      </c>
      <c r="E144" t="s">
        <v>62</v>
      </c>
      <c r="F144" t="s">
        <v>103</v>
      </c>
      <c r="G144" t="s">
        <v>74</v>
      </c>
      <c r="H144">
        <v>2024</v>
      </c>
      <c r="I144" s="2">
        <v>248711270</v>
      </c>
    </row>
    <row r="145" spans="1:9" x14ac:dyDescent="0.2">
      <c r="A145" t="s">
        <v>97</v>
      </c>
      <c r="B145" t="s">
        <v>45</v>
      </c>
      <c r="C145" t="s">
        <v>18</v>
      </c>
      <c r="E145" t="s">
        <v>62</v>
      </c>
      <c r="F145" t="s">
        <v>103</v>
      </c>
      <c r="G145" t="s">
        <v>75</v>
      </c>
      <c r="H145">
        <v>2024</v>
      </c>
      <c r="I145" s="2">
        <v>7306150</v>
      </c>
    </row>
    <row r="146" spans="1:9" x14ac:dyDescent="0.2">
      <c r="A146" t="s">
        <v>97</v>
      </c>
      <c r="B146" t="s">
        <v>45</v>
      </c>
      <c r="C146" t="s">
        <v>18</v>
      </c>
      <c r="E146" t="s">
        <v>62</v>
      </c>
      <c r="F146" t="s">
        <v>103</v>
      </c>
      <c r="G146" t="s">
        <v>76</v>
      </c>
      <c r="H146">
        <v>2024</v>
      </c>
      <c r="I146" s="2">
        <v>1333300</v>
      </c>
    </row>
    <row r="147" spans="1:9" x14ac:dyDescent="0.2">
      <c r="A147" t="s">
        <v>97</v>
      </c>
      <c r="B147" t="s">
        <v>45</v>
      </c>
      <c r="C147" t="s">
        <v>18</v>
      </c>
      <c r="E147" t="s">
        <v>62</v>
      </c>
      <c r="F147" t="s">
        <v>103</v>
      </c>
      <c r="G147" t="s">
        <v>77</v>
      </c>
      <c r="H147">
        <v>2024</v>
      </c>
      <c r="I147" s="2">
        <v>1368950</v>
      </c>
    </row>
    <row r="148" spans="1:9" x14ac:dyDescent="0.2">
      <c r="A148" t="s">
        <v>97</v>
      </c>
      <c r="B148" t="s">
        <v>45</v>
      </c>
      <c r="C148" t="s">
        <v>18</v>
      </c>
      <c r="E148" t="s">
        <v>62</v>
      </c>
      <c r="F148" t="s">
        <v>103</v>
      </c>
      <c r="G148" t="s">
        <v>78</v>
      </c>
      <c r="H148">
        <v>2024</v>
      </c>
      <c r="I148" s="2">
        <v>197247730</v>
      </c>
    </row>
    <row r="149" spans="1:9" x14ac:dyDescent="0.2">
      <c r="A149" t="s">
        <v>97</v>
      </c>
      <c r="B149" t="s">
        <v>45</v>
      </c>
      <c r="C149" t="s">
        <v>18</v>
      </c>
      <c r="E149" t="s">
        <v>62</v>
      </c>
      <c r="F149" t="s">
        <v>103</v>
      </c>
      <c r="G149" t="s">
        <v>79</v>
      </c>
      <c r="H149">
        <v>2024</v>
      </c>
      <c r="I149" s="2">
        <v>272000</v>
      </c>
    </row>
    <row r="150" spans="1:9" x14ac:dyDescent="0.2">
      <c r="A150" t="s">
        <v>97</v>
      </c>
      <c r="B150" t="s">
        <v>45</v>
      </c>
      <c r="C150" t="s">
        <v>18</v>
      </c>
      <c r="E150" t="s">
        <v>62</v>
      </c>
      <c r="F150" t="s">
        <v>103</v>
      </c>
      <c r="G150" t="s">
        <v>80</v>
      </c>
      <c r="H150">
        <v>2024</v>
      </c>
      <c r="I150" s="2">
        <v>2864940</v>
      </c>
    </row>
    <row r="151" spans="1:9" x14ac:dyDescent="0.2">
      <c r="A151" t="s">
        <v>97</v>
      </c>
      <c r="B151" t="s">
        <v>45</v>
      </c>
      <c r="C151" t="s">
        <v>18</v>
      </c>
      <c r="E151" t="s">
        <v>62</v>
      </c>
      <c r="F151" t="s">
        <v>103</v>
      </c>
      <c r="G151" t="s">
        <v>81</v>
      </c>
      <c r="H151">
        <v>2024</v>
      </c>
      <c r="I151" s="2">
        <v>459510</v>
      </c>
    </row>
    <row r="152" spans="1:9" x14ac:dyDescent="0.2">
      <c r="A152" t="s">
        <v>97</v>
      </c>
      <c r="B152" t="s">
        <v>45</v>
      </c>
      <c r="C152" t="s">
        <v>18</v>
      </c>
      <c r="E152" t="s">
        <v>62</v>
      </c>
      <c r="F152" t="s">
        <v>103</v>
      </c>
      <c r="G152" t="s">
        <v>82</v>
      </c>
      <c r="H152">
        <v>2024</v>
      </c>
      <c r="I152" s="2">
        <v>565190</v>
      </c>
    </row>
    <row r="153" spans="1:9" x14ac:dyDescent="0.2">
      <c r="A153" t="s">
        <v>97</v>
      </c>
      <c r="B153" t="s">
        <v>45</v>
      </c>
      <c r="C153" t="s">
        <v>18</v>
      </c>
      <c r="E153" t="s">
        <v>62</v>
      </c>
      <c r="F153" t="s">
        <v>103</v>
      </c>
      <c r="G153" t="s">
        <v>83</v>
      </c>
      <c r="H153">
        <v>2024</v>
      </c>
      <c r="I153" s="2">
        <v>602100</v>
      </c>
    </row>
    <row r="154" spans="1:9" x14ac:dyDescent="0.2">
      <c r="A154" t="s">
        <v>97</v>
      </c>
      <c r="B154" t="s">
        <v>45</v>
      </c>
      <c r="C154" t="s">
        <v>18</v>
      </c>
      <c r="E154" t="s">
        <v>62</v>
      </c>
      <c r="F154" t="s">
        <v>103</v>
      </c>
      <c r="G154" t="s">
        <v>84</v>
      </c>
      <c r="H154">
        <v>2024</v>
      </c>
      <c r="I154" s="2">
        <v>403870</v>
      </c>
    </row>
    <row r="155" spans="1:9" x14ac:dyDescent="0.2">
      <c r="A155" t="s">
        <v>97</v>
      </c>
      <c r="B155" t="s">
        <v>45</v>
      </c>
      <c r="C155" t="s">
        <v>18</v>
      </c>
      <c r="E155" t="s">
        <v>62</v>
      </c>
      <c r="F155" t="s">
        <v>103</v>
      </c>
      <c r="G155" t="s">
        <v>74</v>
      </c>
      <c r="H155">
        <v>2023</v>
      </c>
      <c r="I155" s="2">
        <v>376218920</v>
      </c>
    </row>
    <row r="156" spans="1:9" x14ac:dyDescent="0.2">
      <c r="A156" t="s">
        <v>97</v>
      </c>
      <c r="B156" t="s">
        <v>45</v>
      </c>
      <c r="C156" t="s">
        <v>18</v>
      </c>
      <c r="E156" t="s">
        <v>62</v>
      </c>
      <c r="F156" t="s">
        <v>103</v>
      </c>
      <c r="G156" t="s">
        <v>75</v>
      </c>
      <c r="H156">
        <v>2023</v>
      </c>
      <c r="I156" s="2">
        <v>12645580</v>
      </c>
    </row>
    <row r="157" spans="1:9" x14ac:dyDescent="0.2">
      <c r="A157" t="s">
        <v>97</v>
      </c>
      <c r="B157" t="s">
        <v>45</v>
      </c>
      <c r="C157" t="s">
        <v>18</v>
      </c>
      <c r="E157" t="s">
        <v>62</v>
      </c>
      <c r="F157" t="s">
        <v>103</v>
      </c>
      <c r="G157" t="s">
        <v>76</v>
      </c>
      <c r="H157">
        <v>2023</v>
      </c>
      <c r="I157" s="2">
        <v>1805550</v>
      </c>
    </row>
    <row r="158" spans="1:9" x14ac:dyDescent="0.2">
      <c r="A158" t="s">
        <v>97</v>
      </c>
      <c r="B158" t="s">
        <v>45</v>
      </c>
      <c r="C158" t="s">
        <v>18</v>
      </c>
      <c r="E158" t="s">
        <v>62</v>
      </c>
      <c r="F158" t="s">
        <v>103</v>
      </c>
      <c r="G158" t="s">
        <v>77</v>
      </c>
      <c r="H158">
        <v>2023</v>
      </c>
      <c r="I158" s="2">
        <v>1315050</v>
      </c>
    </row>
    <row r="159" spans="1:9" x14ac:dyDescent="0.2">
      <c r="A159" t="s">
        <v>97</v>
      </c>
      <c r="B159" t="s">
        <v>45</v>
      </c>
      <c r="C159" t="s">
        <v>18</v>
      </c>
      <c r="E159" t="s">
        <v>62</v>
      </c>
      <c r="F159" t="s">
        <v>103</v>
      </c>
      <c r="G159" t="s">
        <v>78</v>
      </c>
      <c r="H159">
        <v>2023</v>
      </c>
      <c r="I159" s="2">
        <v>38424700</v>
      </c>
    </row>
    <row r="160" spans="1:9" x14ac:dyDescent="0.2">
      <c r="A160" t="s">
        <v>97</v>
      </c>
      <c r="B160" t="s">
        <v>45</v>
      </c>
      <c r="C160" t="s">
        <v>18</v>
      </c>
      <c r="E160" t="s">
        <v>62</v>
      </c>
      <c r="F160" t="s">
        <v>103</v>
      </c>
      <c r="G160" t="s">
        <v>79</v>
      </c>
      <c r="H160">
        <v>2023</v>
      </c>
      <c r="I160" s="2">
        <v>267500</v>
      </c>
    </row>
    <row r="161" spans="1:9" x14ac:dyDescent="0.2">
      <c r="A161" t="s">
        <v>97</v>
      </c>
      <c r="B161" t="s">
        <v>45</v>
      </c>
      <c r="C161" t="s">
        <v>18</v>
      </c>
      <c r="E161" t="s">
        <v>62</v>
      </c>
      <c r="F161" t="s">
        <v>103</v>
      </c>
      <c r="G161" t="s">
        <v>80</v>
      </c>
      <c r="H161">
        <v>2023</v>
      </c>
      <c r="I161" s="2">
        <v>2916660</v>
      </c>
    </row>
    <row r="162" spans="1:9" x14ac:dyDescent="0.2">
      <c r="A162" t="s">
        <v>97</v>
      </c>
      <c r="B162" t="s">
        <v>45</v>
      </c>
      <c r="C162" t="s">
        <v>18</v>
      </c>
      <c r="E162" t="s">
        <v>62</v>
      </c>
      <c r="F162" t="s">
        <v>103</v>
      </c>
      <c r="G162" t="s">
        <v>81</v>
      </c>
      <c r="H162">
        <v>2023</v>
      </c>
      <c r="I162" s="2">
        <v>422470</v>
      </c>
    </row>
    <row r="163" spans="1:9" x14ac:dyDescent="0.2">
      <c r="A163" t="s">
        <v>97</v>
      </c>
      <c r="B163" t="s">
        <v>45</v>
      </c>
      <c r="C163" t="s">
        <v>18</v>
      </c>
      <c r="E163" t="s">
        <v>62</v>
      </c>
      <c r="F163" t="s">
        <v>103</v>
      </c>
      <c r="G163" t="s">
        <v>82</v>
      </c>
      <c r="H163">
        <v>2023</v>
      </c>
      <c r="I163" s="2">
        <v>612200</v>
      </c>
    </row>
    <row r="164" spans="1:9" x14ac:dyDescent="0.2">
      <c r="A164" t="s">
        <v>97</v>
      </c>
      <c r="B164" t="s">
        <v>45</v>
      </c>
      <c r="C164" t="s">
        <v>18</v>
      </c>
      <c r="E164" t="s">
        <v>62</v>
      </c>
      <c r="F164" t="s">
        <v>103</v>
      </c>
      <c r="G164" t="s">
        <v>83</v>
      </c>
      <c r="H164">
        <v>2023</v>
      </c>
      <c r="I164" s="2">
        <v>593960</v>
      </c>
    </row>
    <row r="165" spans="1:9" x14ac:dyDescent="0.2">
      <c r="A165" t="s">
        <v>97</v>
      </c>
      <c r="B165" t="s">
        <v>45</v>
      </c>
      <c r="C165" t="s">
        <v>18</v>
      </c>
      <c r="E165" t="s">
        <v>62</v>
      </c>
      <c r="F165" t="s">
        <v>103</v>
      </c>
      <c r="G165" t="s">
        <v>84</v>
      </c>
      <c r="H165">
        <v>2023</v>
      </c>
      <c r="I165" s="2">
        <v>406360</v>
      </c>
    </row>
    <row r="166" spans="1:9" x14ac:dyDescent="0.2">
      <c r="A166" t="s">
        <v>97</v>
      </c>
      <c r="B166" t="s">
        <v>45</v>
      </c>
      <c r="C166" t="s">
        <v>18</v>
      </c>
      <c r="E166" t="s">
        <v>62</v>
      </c>
      <c r="F166" t="s">
        <v>103</v>
      </c>
      <c r="G166" t="s">
        <v>74</v>
      </c>
      <c r="H166">
        <v>2022</v>
      </c>
      <c r="I166" s="2">
        <v>337057350</v>
      </c>
    </row>
    <row r="167" spans="1:9" x14ac:dyDescent="0.2">
      <c r="A167" t="s">
        <v>97</v>
      </c>
      <c r="B167" t="s">
        <v>45</v>
      </c>
      <c r="C167" t="s">
        <v>18</v>
      </c>
      <c r="E167" t="s">
        <v>62</v>
      </c>
      <c r="F167" t="s">
        <v>103</v>
      </c>
      <c r="G167" t="s">
        <v>75</v>
      </c>
      <c r="H167">
        <v>2022</v>
      </c>
      <c r="I167" s="2">
        <v>15516910</v>
      </c>
    </row>
    <row r="168" spans="1:9" x14ac:dyDescent="0.2">
      <c r="A168" t="s">
        <v>97</v>
      </c>
      <c r="B168" t="s">
        <v>45</v>
      </c>
      <c r="C168" t="s">
        <v>18</v>
      </c>
      <c r="E168" t="s">
        <v>62</v>
      </c>
      <c r="F168" t="s">
        <v>103</v>
      </c>
      <c r="G168" t="s">
        <v>76</v>
      </c>
      <c r="H168">
        <v>2022</v>
      </c>
      <c r="I168" s="2">
        <v>1941790</v>
      </c>
    </row>
    <row r="169" spans="1:9" x14ac:dyDescent="0.2">
      <c r="A169" t="s">
        <v>97</v>
      </c>
      <c r="B169" t="s">
        <v>45</v>
      </c>
      <c r="C169" t="s">
        <v>18</v>
      </c>
      <c r="E169" t="s">
        <v>62</v>
      </c>
      <c r="F169" t="s">
        <v>103</v>
      </c>
      <c r="G169" t="s">
        <v>77</v>
      </c>
      <c r="H169">
        <v>2022</v>
      </c>
      <c r="I169" s="2">
        <v>1281230</v>
      </c>
    </row>
    <row r="170" spans="1:9" x14ac:dyDescent="0.2">
      <c r="A170" t="s">
        <v>97</v>
      </c>
      <c r="B170" t="s">
        <v>45</v>
      </c>
      <c r="C170" t="s">
        <v>18</v>
      </c>
      <c r="E170" t="s">
        <v>62</v>
      </c>
      <c r="F170" t="s">
        <v>103</v>
      </c>
      <c r="G170" t="s">
        <v>79</v>
      </c>
      <c r="H170">
        <v>2022</v>
      </c>
      <c r="I170" s="2">
        <v>279370</v>
      </c>
    </row>
    <row r="171" spans="1:9" x14ac:dyDescent="0.2">
      <c r="A171" t="s">
        <v>97</v>
      </c>
      <c r="B171" t="s">
        <v>45</v>
      </c>
      <c r="C171" t="s">
        <v>18</v>
      </c>
      <c r="E171" t="s">
        <v>62</v>
      </c>
      <c r="F171" t="s">
        <v>103</v>
      </c>
      <c r="G171" t="s">
        <v>80</v>
      </c>
      <c r="H171">
        <v>2022</v>
      </c>
      <c r="I171" s="2">
        <v>3606080</v>
      </c>
    </row>
    <row r="172" spans="1:9" x14ac:dyDescent="0.2">
      <c r="A172" t="s">
        <v>97</v>
      </c>
      <c r="B172" t="s">
        <v>45</v>
      </c>
      <c r="C172" t="s">
        <v>18</v>
      </c>
      <c r="E172" t="s">
        <v>62</v>
      </c>
      <c r="F172" t="s">
        <v>103</v>
      </c>
      <c r="G172" t="s">
        <v>81</v>
      </c>
      <c r="H172">
        <v>2022</v>
      </c>
      <c r="I172" s="2">
        <v>436880</v>
      </c>
    </row>
    <row r="173" spans="1:9" x14ac:dyDescent="0.2">
      <c r="A173" t="s">
        <v>97</v>
      </c>
      <c r="B173" t="s">
        <v>45</v>
      </c>
      <c r="C173" t="s">
        <v>18</v>
      </c>
      <c r="E173" t="s">
        <v>62</v>
      </c>
      <c r="F173" t="s">
        <v>103</v>
      </c>
      <c r="G173" t="s">
        <v>82</v>
      </c>
      <c r="H173">
        <v>2022</v>
      </c>
      <c r="I173" s="2">
        <v>637940</v>
      </c>
    </row>
    <row r="174" spans="1:9" x14ac:dyDescent="0.2">
      <c r="A174" t="s">
        <v>97</v>
      </c>
      <c r="B174" t="s">
        <v>45</v>
      </c>
      <c r="C174" t="s">
        <v>18</v>
      </c>
      <c r="E174" t="s">
        <v>62</v>
      </c>
      <c r="F174" t="s">
        <v>103</v>
      </c>
      <c r="G174" t="s">
        <v>83</v>
      </c>
      <c r="H174">
        <v>2022</v>
      </c>
      <c r="I174" s="2">
        <v>447260</v>
      </c>
    </row>
    <row r="175" spans="1:9" x14ac:dyDescent="0.2">
      <c r="A175" t="s">
        <v>97</v>
      </c>
      <c r="B175" t="s">
        <v>45</v>
      </c>
      <c r="C175" t="s">
        <v>18</v>
      </c>
      <c r="E175" t="s">
        <v>62</v>
      </c>
      <c r="F175" t="s">
        <v>103</v>
      </c>
      <c r="G175" t="s">
        <v>84</v>
      </c>
      <c r="H175">
        <v>2022</v>
      </c>
      <c r="I175" s="2">
        <v>410640</v>
      </c>
    </row>
    <row r="176" spans="1:9" x14ac:dyDescent="0.2">
      <c r="A176" t="s">
        <v>97</v>
      </c>
      <c r="B176" t="s">
        <v>45</v>
      </c>
      <c r="C176" t="s">
        <v>18</v>
      </c>
      <c r="E176" t="s">
        <v>62</v>
      </c>
      <c r="F176" t="s">
        <v>102</v>
      </c>
      <c r="G176" t="s">
        <v>85</v>
      </c>
      <c r="H176">
        <v>2024</v>
      </c>
      <c r="I176" s="2">
        <v>689120</v>
      </c>
    </row>
    <row r="177" spans="1:9" x14ac:dyDescent="0.2">
      <c r="A177" t="s">
        <v>97</v>
      </c>
      <c r="B177" t="s">
        <v>45</v>
      </c>
      <c r="C177" t="s">
        <v>18</v>
      </c>
      <c r="E177" t="s">
        <v>62</v>
      </c>
      <c r="F177" t="s">
        <v>102</v>
      </c>
      <c r="G177" t="s">
        <v>85</v>
      </c>
      <c r="H177">
        <v>2023</v>
      </c>
      <c r="I177" s="2">
        <v>1034920</v>
      </c>
    </row>
    <row r="178" spans="1:9" x14ac:dyDescent="0.2">
      <c r="A178" t="s">
        <v>97</v>
      </c>
      <c r="B178" t="s">
        <v>45</v>
      </c>
      <c r="C178" t="s">
        <v>18</v>
      </c>
      <c r="E178" t="s">
        <v>62</v>
      </c>
      <c r="F178" t="s">
        <v>102</v>
      </c>
      <c r="G178" t="s">
        <v>85</v>
      </c>
      <c r="H178">
        <v>2022</v>
      </c>
      <c r="I178" s="2">
        <v>1232110</v>
      </c>
    </row>
    <row r="179" spans="1:9" x14ac:dyDescent="0.2">
      <c r="A179" t="s">
        <v>97</v>
      </c>
      <c r="B179" t="s">
        <v>86</v>
      </c>
      <c r="C179" t="s">
        <v>87</v>
      </c>
      <c r="D179" t="s">
        <v>86</v>
      </c>
      <c r="F179" t="s">
        <v>100</v>
      </c>
      <c r="G179" t="s">
        <v>88</v>
      </c>
      <c r="H179">
        <v>2024</v>
      </c>
      <c r="I179" s="2">
        <v>70541750</v>
      </c>
    </row>
    <row r="180" spans="1:9" x14ac:dyDescent="0.2">
      <c r="A180" t="s">
        <v>97</v>
      </c>
      <c r="B180" t="s">
        <v>86</v>
      </c>
      <c r="C180" t="s">
        <v>87</v>
      </c>
      <c r="D180" t="s">
        <v>86</v>
      </c>
      <c r="F180" t="s">
        <v>100</v>
      </c>
      <c r="G180" t="s">
        <v>88</v>
      </c>
      <c r="H180">
        <v>2023</v>
      </c>
      <c r="I180" s="2">
        <v>53359060</v>
      </c>
    </row>
    <row r="181" spans="1:9" x14ac:dyDescent="0.2">
      <c r="A181" t="s">
        <v>97</v>
      </c>
      <c r="B181" t="s">
        <v>86</v>
      </c>
      <c r="C181" t="s">
        <v>87</v>
      </c>
      <c r="D181" t="s">
        <v>86</v>
      </c>
      <c r="F181" t="s">
        <v>100</v>
      </c>
      <c r="G181" t="s">
        <v>88</v>
      </c>
      <c r="H181">
        <v>2022</v>
      </c>
      <c r="I181" s="2">
        <v>48121180</v>
      </c>
    </row>
    <row r="182" spans="1:9" x14ac:dyDescent="0.2">
      <c r="A182" t="s">
        <v>97</v>
      </c>
      <c r="B182" t="s">
        <v>86</v>
      </c>
      <c r="C182" t="s">
        <v>87</v>
      </c>
      <c r="D182" t="s">
        <v>86</v>
      </c>
      <c r="F182" t="s">
        <v>101</v>
      </c>
      <c r="G182" t="s">
        <v>89</v>
      </c>
      <c r="H182">
        <v>2024</v>
      </c>
      <c r="I182" s="2">
        <v>592340</v>
      </c>
    </row>
    <row r="183" spans="1:9" x14ac:dyDescent="0.2">
      <c r="A183" t="s">
        <v>97</v>
      </c>
      <c r="B183" t="s">
        <v>86</v>
      </c>
      <c r="C183" t="s">
        <v>87</v>
      </c>
      <c r="D183" t="s">
        <v>86</v>
      </c>
      <c r="F183" t="s">
        <v>101</v>
      </c>
      <c r="G183" t="s">
        <v>89</v>
      </c>
      <c r="H183">
        <v>2023</v>
      </c>
      <c r="I183" s="2">
        <v>591950</v>
      </c>
    </row>
    <row r="184" spans="1:9" x14ac:dyDescent="0.2">
      <c r="A184" t="s">
        <v>97</v>
      </c>
      <c r="B184" t="s">
        <v>86</v>
      </c>
      <c r="C184" t="s">
        <v>87</v>
      </c>
      <c r="D184" t="s">
        <v>86</v>
      </c>
      <c r="F184" t="s">
        <v>101</v>
      </c>
      <c r="G184" t="s">
        <v>89</v>
      </c>
      <c r="H184">
        <v>2022</v>
      </c>
      <c r="I184" s="2">
        <v>734790</v>
      </c>
    </row>
    <row r="185" spans="1:9" x14ac:dyDescent="0.2">
      <c r="A185" t="s">
        <v>97</v>
      </c>
      <c r="B185" t="s">
        <v>86</v>
      </c>
      <c r="C185" t="s">
        <v>87</v>
      </c>
      <c r="D185" t="s">
        <v>86</v>
      </c>
      <c r="F185" t="s">
        <v>103</v>
      </c>
      <c r="G185" t="s">
        <v>90</v>
      </c>
      <c r="H185">
        <v>2024</v>
      </c>
      <c r="I185" s="2">
        <v>36565480</v>
      </c>
    </row>
    <row r="186" spans="1:9" x14ac:dyDescent="0.2">
      <c r="A186" t="s">
        <v>97</v>
      </c>
      <c r="B186" t="s">
        <v>86</v>
      </c>
      <c r="C186" t="s">
        <v>87</v>
      </c>
      <c r="D186" t="s">
        <v>86</v>
      </c>
      <c r="F186" t="s">
        <v>103</v>
      </c>
      <c r="G186" t="s">
        <v>91</v>
      </c>
      <c r="H186">
        <v>2024</v>
      </c>
      <c r="I186" s="2">
        <v>101180</v>
      </c>
    </row>
    <row r="187" spans="1:9" x14ac:dyDescent="0.2">
      <c r="A187" t="s">
        <v>97</v>
      </c>
      <c r="B187" t="s">
        <v>86</v>
      </c>
      <c r="C187" t="s">
        <v>87</v>
      </c>
      <c r="D187" t="s">
        <v>86</v>
      </c>
      <c r="F187" t="s">
        <v>103</v>
      </c>
      <c r="G187" t="s">
        <v>92</v>
      </c>
      <c r="H187">
        <v>2024</v>
      </c>
      <c r="I187" s="2">
        <v>157286490</v>
      </c>
    </row>
    <row r="188" spans="1:9" x14ac:dyDescent="0.2">
      <c r="A188" t="s">
        <v>97</v>
      </c>
      <c r="B188" t="s">
        <v>86</v>
      </c>
      <c r="C188" t="s">
        <v>87</v>
      </c>
      <c r="D188" t="s">
        <v>86</v>
      </c>
      <c r="F188" t="s">
        <v>103</v>
      </c>
      <c r="G188" t="s">
        <v>93</v>
      </c>
      <c r="H188">
        <v>2024</v>
      </c>
      <c r="I188" s="2">
        <v>57457850</v>
      </c>
    </row>
    <row r="189" spans="1:9" x14ac:dyDescent="0.2">
      <c r="A189" t="s">
        <v>97</v>
      </c>
      <c r="B189" t="s">
        <v>86</v>
      </c>
      <c r="C189" t="s">
        <v>87</v>
      </c>
      <c r="D189" t="s">
        <v>86</v>
      </c>
      <c r="F189" t="s">
        <v>103</v>
      </c>
      <c r="G189" t="s">
        <v>90</v>
      </c>
      <c r="H189">
        <v>2023</v>
      </c>
      <c r="I189" s="2">
        <v>27985940</v>
      </c>
    </row>
    <row r="190" spans="1:9" x14ac:dyDescent="0.2">
      <c r="A190" t="s">
        <v>97</v>
      </c>
      <c r="B190" t="s">
        <v>86</v>
      </c>
      <c r="C190" t="s">
        <v>87</v>
      </c>
      <c r="D190" t="s">
        <v>86</v>
      </c>
      <c r="F190" t="s">
        <v>103</v>
      </c>
      <c r="G190" t="s">
        <v>92</v>
      </c>
      <c r="H190">
        <v>2023</v>
      </c>
      <c r="I190" s="2">
        <v>133499820</v>
      </c>
    </row>
    <row r="191" spans="1:9" x14ac:dyDescent="0.2">
      <c r="A191" t="s">
        <v>97</v>
      </c>
      <c r="B191" t="s">
        <v>86</v>
      </c>
      <c r="C191" t="s">
        <v>87</v>
      </c>
      <c r="D191" t="s">
        <v>86</v>
      </c>
      <c r="F191" t="s">
        <v>103</v>
      </c>
      <c r="G191" t="s">
        <v>93</v>
      </c>
      <c r="H191">
        <v>2023</v>
      </c>
      <c r="I191" s="2">
        <v>51891980</v>
      </c>
    </row>
    <row r="192" spans="1:9" x14ac:dyDescent="0.2">
      <c r="A192" t="s">
        <v>97</v>
      </c>
      <c r="B192" t="s">
        <v>86</v>
      </c>
      <c r="C192" t="s">
        <v>87</v>
      </c>
      <c r="D192" t="s">
        <v>86</v>
      </c>
      <c r="F192" t="s">
        <v>103</v>
      </c>
      <c r="G192" t="s">
        <v>90</v>
      </c>
      <c r="H192">
        <v>2022</v>
      </c>
      <c r="I192" s="2">
        <v>23423810</v>
      </c>
    </row>
    <row r="193" spans="1:9" x14ac:dyDescent="0.2">
      <c r="A193" t="s">
        <v>97</v>
      </c>
      <c r="B193" t="s">
        <v>86</v>
      </c>
      <c r="C193" t="s">
        <v>87</v>
      </c>
      <c r="D193" t="s">
        <v>86</v>
      </c>
      <c r="F193" t="s">
        <v>103</v>
      </c>
      <c r="G193" t="s">
        <v>92</v>
      </c>
      <c r="H193">
        <v>2022</v>
      </c>
      <c r="I193" s="2">
        <v>135480870</v>
      </c>
    </row>
    <row r="194" spans="1:9" x14ac:dyDescent="0.2">
      <c r="A194" t="s">
        <v>97</v>
      </c>
      <c r="B194" t="s">
        <v>86</v>
      </c>
      <c r="C194" t="s">
        <v>87</v>
      </c>
      <c r="D194" t="s">
        <v>86</v>
      </c>
      <c r="F194" t="s">
        <v>103</v>
      </c>
      <c r="G194" t="s">
        <v>93</v>
      </c>
      <c r="H194">
        <v>2022</v>
      </c>
      <c r="I194" s="2">
        <v>49375040</v>
      </c>
    </row>
    <row r="195" spans="1:9" x14ac:dyDescent="0.2">
      <c r="A195" t="s">
        <v>97</v>
      </c>
      <c r="B195" t="s">
        <v>86</v>
      </c>
      <c r="C195" t="s">
        <v>94</v>
      </c>
      <c r="D195" t="s">
        <v>86</v>
      </c>
      <c r="F195" t="s">
        <v>103</v>
      </c>
      <c r="G195" t="s">
        <v>95</v>
      </c>
      <c r="H195">
        <v>2024</v>
      </c>
      <c r="I195" s="2">
        <v>12926590</v>
      </c>
    </row>
    <row r="196" spans="1:9" x14ac:dyDescent="0.2">
      <c r="A196" t="s">
        <v>97</v>
      </c>
      <c r="B196" t="s">
        <v>86</v>
      </c>
      <c r="C196" t="s">
        <v>94</v>
      </c>
      <c r="D196" t="s">
        <v>86</v>
      </c>
      <c r="F196" t="s">
        <v>103</v>
      </c>
      <c r="G196" t="s">
        <v>96</v>
      </c>
      <c r="H196">
        <v>2024</v>
      </c>
      <c r="I196" s="2">
        <v>15220</v>
      </c>
    </row>
    <row r="197" spans="1:9" x14ac:dyDescent="0.2">
      <c r="A197" t="s">
        <v>97</v>
      </c>
      <c r="B197" t="s">
        <v>86</v>
      </c>
      <c r="C197" t="s">
        <v>94</v>
      </c>
      <c r="D197" t="s">
        <v>86</v>
      </c>
      <c r="F197" t="s">
        <v>103</v>
      </c>
      <c r="G197" t="s">
        <v>95</v>
      </c>
      <c r="H197">
        <v>2023</v>
      </c>
      <c r="I197" s="2">
        <v>2558960</v>
      </c>
    </row>
    <row r="198" spans="1:9" x14ac:dyDescent="0.2">
      <c r="A198" t="s">
        <v>97</v>
      </c>
      <c r="B198" t="s">
        <v>86</v>
      </c>
      <c r="C198" t="s">
        <v>94</v>
      </c>
      <c r="D198" t="s">
        <v>86</v>
      </c>
      <c r="F198" t="s">
        <v>103</v>
      </c>
      <c r="G198" t="s">
        <v>96</v>
      </c>
      <c r="H198">
        <v>2023</v>
      </c>
      <c r="I198" s="2">
        <v>366610</v>
      </c>
    </row>
    <row r="199" spans="1:9" x14ac:dyDescent="0.2">
      <c r="A199" t="s">
        <v>97</v>
      </c>
      <c r="B199" t="s">
        <v>86</v>
      </c>
      <c r="C199" t="s">
        <v>94</v>
      </c>
      <c r="D199" t="s">
        <v>86</v>
      </c>
      <c r="F199" t="s">
        <v>103</v>
      </c>
      <c r="G199" t="s">
        <v>95</v>
      </c>
      <c r="H199">
        <v>2022</v>
      </c>
      <c r="I199" s="2">
        <v>1469490</v>
      </c>
    </row>
    <row r="200" spans="1:9" x14ac:dyDescent="0.2">
      <c r="A200" t="s">
        <v>98</v>
      </c>
      <c r="B200" t="s">
        <v>8</v>
      </c>
      <c r="C200" t="s">
        <v>9</v>
      </c>
      <c r="F200" t="s">
        <v>100</v>
      </c>
      <c r="G200" t="s">
        <v>10</v>
      </c>
      <c r="H200">
        <v>2024</v>
      </c>
      <c r="I200" s="2">
        <v>67080</v>
      </c>
    </row>
    <row r="201" spans="1:9" x14ac:dyDescent="0.2">
      <c r="A201" t="s">
        <v>98</v>
      </c>
      <c r="B201" t="s">
        <v>8</v>
      </c>
      <c r="C201" t="s">
        <v>9</v>
      </c>
      <c r="F201" t="s">
        <v>100</v>
      </c>
      <c r="G201" t="s">
        <v>11</v>
      </c>
      <c r="H201">
        <v>2024</v>
      </c>
      <c r="I201" s="2">
        <v>9980</v>
      </c>
    </row>
    <row r="202" spans="1:9" x14ac:dyDescent="0.2">
      <c r="A202" t="s">
        <v>98</v>
      </c>
      <c r="B202" t="s">
        <v>8</v>
      </c>
      <c r="C202" t="s">
        <v>9</v>
      </c>
      <c r="F202" t="s">
        <v>100</v>
      </c>
      <c r="G202" t="s">
        <v>12</v>
      </c>
      <c r="H202">
        <v>2024</v>
      </c>
      <c r="I202" s="2">
        <v>130</v>
      </c>
    </row>
    <row r="203" spans="1:9" x14ac:dyDescent="0.2">
      <c r="A203" t="s">
        <v>98</v>
      </c>
      <c r="B203" t="s">
        <v>8</v>
      </c>
      <c r="C203" t="s">
        <v>9</v>
      </c>
      <c r="F203" t="s">
        <v>100</v>
      </c>
      <c r="G203" t="s">
        <v>10</v>
      </c>
      <c r="H203">
        <v>2023</v>
      </c>
      <c r="I203" s="2">
        <v>42950</v>
      </c>
    </row>
    <row r="204" spans="1:9" x14ac:dyDescent="0.2">
      <c r="A204" t="s">
        <v>98</v>
      </c>
      <c r="B204" t="s">
        <v>8</v>
      </c>
      <c r="C204" t="s">
        <v>9</v>
      </c>
      <c r="F204" t="s">
        <v>100</v>
      </c>
      <c r="G204" t="s">
        <v>11</v>
      </c>
      <c r="H204">
        <v>2023</v>
      </c>
      <c r="I204" s="2">
        <v>22410</v>
      </c>
    </row>
    <row r="205" spans="1:9" x14ac:dyDescent="0.2">
      <c r="A205" t="s">
        <v>98</v>
      </c>
      <c r="B205" t="s">
        <v>8</v>
      </c>
      <c r="C205" t="s">
        <v>9</v>
      </c>
      <c r="F205" t="s">
        <v>100</v>
      </c>
      <c r="G205" t="s">
        <v>12</v>
      </c>
      <c r="H205">
        <v>2023</v>
      </c>
      <c r="I205" s="2">
        <v>130</v>
      </c>
    </row>
    <row r="206" spans="1:9" x14ac:dyDescent="0.2">
      <c r="A206" t="s">
        <v>98</v>
      </c>
      <c r="B206" t="s">
        <v>8</v>
      </c>
      <c r="C206" t="s">
        <v>9</v>
      </c>
      <c r="F206" t="s">
        <v>100</v>
      </c>
      <c r="G206" t="s">
        <v>13</v>
      </c>
      <c r="H206">
        <v>2023</v>
      </c>
      <c r="I206" s="2">
        <v>20</v>
      </c>
    </row>
    <row r="207" spans="1:9" x14ac:dyDescent="0.2">
      <c r="A207" t="s">
        <v>98</v>
      </c>
      <c r="B207" t="s">
        <v>8</v>
      </c>
      <c r="C207" t="s">
        <v>9</v>
      </c>
      <c r="F207" t="s">
        <v>100</v>
      </c>
      <c r="G207" t="s">
        <v>10</v>
      </c>
      <c r="H207">
        <v>2022</v>
      </c>
      <c r="I207" s="2">
        <v>21310</v>
      </c>
    </row>
    <row r="208" spans="1:9" x14ac:dyDescent="0.2">
      <c r="A208" t="s">
        <v>98</v>
      </c>
      <c r="B208" t="s">
        <v>8</v>
      </c>
      <c r="C208" t="s">
        <v>9</v>
      </c>
      <c r="F208" t="s">
        <v>100</v>
      </c>
      <c r="G208" t="s">
        <v>11</v>
      </c>
      <c r="H208">
        <v>2022</v>
      </c>
      <c r="I208" s="2">
        <v>39130</v>
      </c>
    </row>
    <row r="209" spans="1:9" x14ac:dyDescent="0.2">
      <c r="A209" t="s">
        <v>98</v>
      </c>
      <c r="B209" t="s">
        <v>8</v>
      </c>
      <c r="C209" t="s">
        <v>9</v>
      </c>
      <c r="F209" t="s">
        <v>100</v>
      </c>
      <c r="G209" t="s">
        <v>12</v>
      </c>
      <c r="H209">
        <v>2022</v>
      </c>
      <c r="I209" s="2">
        <v>200</v>
      </c>
    </row>
    <row r="210" spans="1:9" x14ac:dyDescent="0.2">
      <c r="A210" t="s">
        <v>98</v>
      </c>
      <c r="B210" t="s">
        <v>8</v>
      </c>
      <c r="C210" t="s">
        <v>9</v>
      </c>
      <c r="F210" t="s">
        <v>100</v>
      </c>
      <c r="G210" t="s">
        <v>13</v>
      </c>
      <c r="H210">
        <v>2022</v>
      </c>
      <c r="I210" s="2">
        <v>150</v>
      </c>
    </row>
    <row r="211" spans="1:9" x14ac:dyDescent="0.2">
      <c r="A211" t="s">
        <v>98</v>
      </c>
      <c r="B211" t="s">
        <v>8</v>
      </c>
      <c r="C211" t="s">
        <v>9</v>
      </c>
      <c r="F211" t="s">
        <v>101</v>
      </c>
      <c r="G211" t="s">
        <v>14</v>
      </c>
      <c r="H211">
        <v>2024</v>
      </c>
      <c r="I211" s="2">
        <v>6340</v>
      </c>
    </row>
    <row r="212" spans="1:9" x14ac:dyDescent="0.2">
      <c r="A212" t="s">
        <v>98</v>
      </c>
      <c r="B212" t="s">
        <v>8</v>
      </c>
      <c r="C212" t="s">
        <v>9</v>
      </c>
      <c r="F212" t="s">
        <v>101</v>
      </c>
      <c r="G212" t="s">
        <v>14</v>
      </c>
      <c r="H212">
        <v>2023</v>
      </c>
      <c r="I212" s="2">
        <v>5320</v>
      </c>
    </row>
    <row r="213" spans="1:9" x14ac:dyDescent="0.2">
      <c r="A213" t="s">
        <v>98</v>
      </c>
      <c r="B213" t="s">
        <v>8</v>
      </c>
      <c r="C213" t="s">
        <v>9</v>
      </c>
      <c r="F213" t="s">
        <v>101</v>
      </c>
      <c r="G213" t="s">
        <v>14</v>
      </c>
      <c r="H213">
        <v>2022</v>
      </c>
      <c r="I213" s="2">
        <v>5040</v>
      </c>
    </row>
    <row r="214" spans="1:9" x14ac:dyDescent="0.2">
      <c r="A214" t="s">
        <v>98</v>
      </c>
      <c r="B214" t="s">
        <v>8</v>
      </c>
      <c r="C214" t="s">
        <v>9</v>
      </c>
      <c r="F214" t="s">
        <v>103</v>
      </c>
      <c r="G214" t="s">
        <v>15</v>
      </c>
      <c r="H214">
        <v>2024</v>
      </c>
      <c r="I214" s="2">
        <v>155040</v>
      </c>
    </row>
    <row r="215" spans="1:9" x14ac:dyDescent="0.2">
      <c r="A215" t="s">
        <v>98</v>
      </c>
      <c r="B215" t="s">
        <v>8</v>
      </c>
      <c r="C215" t="s">
        <v>9</v>
      </c>
      <c r="F215" t="s">
        <v>103</v>
      </c>
      <c r="G215" t="s">
        <v>15</v>
      </c>
      <c r="H215">
        <v>2023</v>
      </c>
      <c r="I215" s="2">
        <v>137460</v>
      </c>
    </row>
    <row r="216" spans="1:9" x14ac:dyDescent="0.2">
      <c r="A216" t="s">
        <v>98</v>
      </c>
      <c r="B216" t="s">
        <v>8</v>
      </c>
      <c r="C216" t="s">
        <v>9</v>
      </c>
      <c r="F216" t="s">
        <v>103</v>
      </c>
      <c r="G216" t="s">
        <v>15</v>
      </c>
      <c r="H216">
        <v>2022</v>
      </c>
      <c r="I216" s="2">
        <v>122370</v>
      </c>
    </row>
    <row r="217" spans="1:9" x14ac:dyDescent="0.2">
      <c r="A217" t="s">
        <v>98</v>
      </c>
      <c r="B217" t="s">
        <v>8</v>
      </c>
      <c r="C217" t="s">
        <v>9</v>
      </c>
      <c r="F217" t="s">
        <v>102</v>
      </c>
      <c r="G217" t="s">
        <v>16</v>
      </c>
      <c r="H217">
        <v>2024</v>
      </c>
      <c r="I217" s="2">
        <v>310</v>
      </c>
    </row>
    <row r="218" spans="1:9" x14ac:dyDescent="0.2">
      <c r="A218" t="s">
        <v>98</v>
      </c>
      <c r="B218" t="s">
        <v>17</v>
      </c>
      <c r="C218" t="s">
        <v>18</v>
      </c>
      <c r="D218" t="s">
        <v>19</v>
      </c>
      <c r="F218" t="s">
        <v>100</v>
      </c>
      <c r="G218" t="s">
        <v>20</v>
      </c>
      <c r="H218">
        <v>2024</v>
      </c>
      <c r="I218" s="2">
        <v>130</v>
      </c>
    </row>
    <row r="219" spans="1:9" x14ac:dyDescent="0.2">
      <c r="A219" t="s">
        <v>98</v>
      </c>
      <c r="B219" t="s">
        <v>17</v>
      </c>
      <c r="C219" t="s">
        <v>18</v>
      </c>
      <c r="D219" t="s">
        <v>19</v>
      </c>
      <c r="F219" t="s">
        <v>100</v>
      </c>
      <c r="G219" t="s">
        <v>21</v>
      </c>
      <c r="H219">
        <v>2024</v>
      </c>
      <c r="I219" s="2">
        <v>36550</v>
      </c>
    </row>
    <row r="220" spans="1:9" x14ac:dyDescent="0.2">
      <c r="A220" t="s">
        <v>98</v>
      </c>
      <c r="B220" t="s">
        <v>17</v>
      </c>
      <c r="C220" t="s">
        <v>18</v>
      </c>
      <c r="D220" t="s">
        <v>19</v>
      </c>
      <c r="F220" t="s">
        <v>100</v>
      </c>
      <c r="G220" t="s">
        <v>22</v>
      </c>
      <c r="H220">
        <v>2023</v>
      </c>
      <c r="I220" s="2">
        <v>0</v>
      </c>
    </row>
    <row r="221" spans="1:9" x14ac:dyDescent="0.2">
      <c r="A221" t="s">
        <v>98</v>
      </c>
      <c r="B221" t="s">
        <v>17</v>
      </c>
      <c r="C221" t="s">
        <v>18</v>
      </c>
      <c r="D221" t="s">
        <v>19</v>
      </c>
      <c r="F221" t="s">
        <v>100</v>
      </c>
      <c r="G221" t="s">
        <v>23</v>
      </c>
      <c r="H221">
        <v>2023</v>
      </c>
      <c r="I221" s="2">
        <v>20</v>
      </c>
    </row>
    <row r="222" spans="1:9" x14ac:dyDescent="0.2">
      <c r="A222" t="s">
        <v>98</v>
      </c>
      <c r="B222" t="s">
        <v>17</v>
      </c>
      <c r="C222" t="s">
        <v>18</v>
      </c>
      <c r="D222" t="s">
        <v>19</v>
      </c>
      <c r="F222" t="s">
        <v>100</v>
      </c>
      <c r="G222" t="s">
        <v>21</v>
      </c>
      <c r="H222">
        <v>2023</v>
      </c>
      <c r="I222" s="2">
        <v>25790</v>
      </c>
    </row>
    <row r="223" spans="1:9" x14ac:dyDescent="0.2">
      <c r="A223" t="s">
        <v>98</v>
      </c>
      <c r="B223" t="s">
        <v>17</v>
      </c>
      <c r="C223" t="s">
        <v>18</v>
      </c>
      <c r="D223" t="s">
        <v>19</v>
      </c>
      <c r="F223" t="s">
        <v>100</v>
      </c>
      <c r="G223" t="s">
        <v>22</v>
      </c>
      <c r="H223">
        <v>2022</v>
      </c>
      <c r="I223" s="2">
        <v>0</v>
      </c>
    </row>
    <row r="224" spans="1:9" x14ac:dyDescent="0.2">
      <c r="A224" t="s">
        <v>98</v>
      </c>
      <c r="B224" t="s">
        <v>17</v>
      </c>
      <c r="C224" t="s">
        <v>18</v>
      </c>
      <c r="D224" t="s">
        <v>19</v>
      </c>
      <c r="F224" t="s">
        <v>100</v>
      </c>
      <c r="G224" t="s">
        <v>23</v>
      </c>
      <c r="H224">
        <v>2022</v>
      </c>
      <c r="I224" s="2">
        <v>60</v>
      </c>
    </row>
    <row r="225" spans="1:9" x14ac:dyDescent="0.2">
      <c r="A225" t="s">
        <v>98</v>
      </c>
      <c r="B225" t="s">
        <v>17</v>
      </c>
      <c r="C225" t="s">
        <v>18</v>
      </c>
      <c r="D225" t="s">
        <v>19</v>
      </c>
      <c r="F225" t="s">
        <v>100</v>
      </c>
      <c r="G225" t="s">
        <v>21</v>
      </c>
      <c r="H225">
        <v>2022</v>
      </c>
      <c r="I225" s="2">
        <v>22050</v>
      </c>
    </row>
    <row r="226" spans="1:9" x14ac:dyDescent="0.2">
      <c r="A226" t="s">
        <v>98</v>
      </c>
      <c r="B226" t="s">
        <v>17</v>
      </c>
      <c r="C226" t="s">
        <v>18</v>
      </c>
      <c r="D226" t="s">
        <v>19</v>
      </c>
      <c r="F226" t="s">
        <v>101</v>
      </c>
      <c r="G226" t="s">
        <v>24</v>
      </c>
      <c r="H226">
        <v>2024</v>
      </c>
      <c r="I226" s="2">
        <v>3590</v>
      </c>
    </row>
    <row r="227" spans="1:9" x14ac:dyDescent="0.2">
      <c r="A227" t="s">
        <v>98</v>
      </c>
      <c r="B227" t="s">
        <v>17</v>
      </c>
      <c r="C227" t="s">
        <v>18</v>
      </c>
      <c r="D227" t="s">
        <v>19</v>
      </c>
      <c r="F227" t="s">
        <v>101</v>
      </c>
      <c r="G227" t="s">
        <v>24</v>
      </c>
      <c r="H227">
        <v>2023</v>
      </c>
      <c r="I227" s="2">
        <v>3560</v>
      </c>
    </row>
    <row r="228" spans="1:9" x14ac:dyDescent="0.2">
      <c r="A228" t="s">
        <v>98</v>
      </c>
      <c r="B228" t="s">
        <v>17</v>
      </c>
      <c r="C228" t="s">
        <v>18</v>
      </c>
      <c r="D228" t="s">
        <v>19</v>
      </c>
      <c r="F228" t="s">
        <v>101</v>
      </c>
      <c r="G228" t="s">
        <v>24</v>
      </c>
      <c r="H228">
        <v>2022</v>
      </c>
      <c r="I228" s="2">
        <v>3150</v>
      </c>
    </row>
    <row r="229" spans="1:9" x14ac:dyDescent="0.2">
      <c r="A229" t="s">
        <v>98</v>
      </c>
      <c r="B229" t="s">
        <v>17</v>
      </c>
      <c r="C229" t="s">
        <v>18</v>
      </c>
      <c r="D229" t="s">
        <v>19</v>
      </c>
      <c r="F229" t="s">
        <v>101</v>
      </c>
      <c r="G229" t="s">
        <v>25</v>
      </c>
      <c r="H229">
        <v>2022</v>
      </c>
      <c r="I229" s="2">
        <v>20</v>
      </c>
    </row>
    <row r="230" spans="1:9" x14ac:dyDescent="0.2">
      <c r="A230" t="s">
        <v>98</v>
      </c>
      <c r="B230" t="s">
        <v>17</v>
      </c>
      <c r="C230" t="s">
        <v>18</v>
      </c>
      <c r="D230" t="s">
        <v>19</v>
      </c>
      <c r="F230" t="s">
        <v>103</v>
      </c>
      <c r="G230" t="s">
        <v>26</v>
      </c>
      <c r="H230">
        <v>2024</v>
      </c>
      <c r="I230" s="2">
        <v>24510</v>
      </c>
    </row>
    <row r="231" spans="1:9" x14ac:dyDescent="0.2">
      <c r="A231" t="s">
        <v>98</v>
      </c>
      <c r="B231" t="s">
        <v>17</v>
      </c>
      <c r="C231" t="s">
        <v>18</v>
      </c>
      <c r="D231" t="s">
        <v>19</v>
      </c>
      <c r="F231" t="s">
        <v>103</v>
      </c>
      <c r="G231" t="s">
        <v>27</v>
      </c>
      <c r="H231">
        <v>2024</v>
      </c>
      <c r="I231" s="2">
        <v>8450</v>
      </c>
    </row>
    <row r="232" spans="1:9" x14ac:dyDescent="0.2">
      <c r="A232" t="s">
        <v>98</v>
      </c>
      <c r="B232" t="s">
        <v>17</v>
      </c>
      <c r="C232" t="s">
        <v>18</v>
      </c>
      <c r="D232" t="s">
        <v>19</v>
      </c>
      <c r="F232" t="s">
        <v>103</v>
      </c>
      <c r="G232" t="s">
        <v>28</v>
      </c>
      <c r="H232">
        <v>2024</v>
      </c>
      <c r="I232" s="2">
        <v>74340</v>
      </c>
    </row>
    <row r="233" spans="1:9" x14ac:dyDescent="0.2">
      <c r="A233" t="s">
        <v>98</v>
      </c>
      <c r="B233" t="s">
        <v>17</v>
      </c>
      <c r="C233" t="s">
        <v>18</v>
      </c>
      <c r="D233" t="s">
        <v>19</v>
      </c>
      <c r="F233" t="s">
        <v>103</v>
      </c>
      <c r="G233" t="s">
        <v>29</v>
      </c>
      <c r="H233">
        <v>2024</v>
      </c>
      <c r="I233" s="2">
        <v>49350</v>
      </c>
    </row>
    <row r="234" spans="1:9" x14ac:dyDescent="0.2">
      <c r="A234" t="s">
        <v>98</v>
      </c>
      <c r="B234" t="s">
        <v>17</v>
      </c>
      <c r="C234" t="s">
        <v>18</v>
      </c>
      <c r="D234" t="s">
        <v>19</v>
      </c>
      <c r="F234" t="s">
        <v>103</v>
      </c>
      <c r="G234" t="s">
        <v>26</v>
      </c>
      <c r="H234">
        <v>2023</v>
      </c>
      <c r="I234" s="2">
        <v>32090</v>
      </c>
    </row>
    <row r="235" spans="1:9" x14ac:dyDescent="0.2">
      <c r="A235" t="s">
        <v>98</v>
      </c>
      <c r="B235" t="s">
        <v>17</v>
      </c>
      <c r="C235" t="s">
        <v>18</v>
      </c>
      <c r="D235" t="s">
        <v>19</v>
      </c>
      <c r="F235" t="s">
        <v>103</v>
      </c>
      <c r="G235" t="s">
        <v>27</v>
      </c>
      <c r="H235">
        <v>2023</v>
      </c>
      <c r="I235" s="2">
        <v>5960</v>
      </c>
    </row>
    <row r="236" spans="1:9" x14ac:dyDescent="0.2">
      <c r="A236" t="s">
        <v>98</v>
      </c>
      <c r="B236" t="s">
        <v>17</v>
      </c>
      <c r="C236" t="s">
        <v>18</v>
      </c>
      <c r="D236" t="s">
        <v>19</v>
      </c>
      <c r="F236" t="s">
        <v>103</v>
      </c>
      <c r="G236" t="s">
        <v>28</v>
      </c>
      <c r="H236">
        <v>2023</v>
      </c>
      <c r="I236" s="2">
        <v>54640</v>
      </c>
    </row>
    <row r="237" spans="1:9" x14ac:dyDescent="0.2">
      <c r="A237" t="s">
        <v>98</v>
      </c>
      <c r="B237" t="s">
        <v>17</v>
      </c>
      <c r="C237" t="s">
        <v>18</v>
      </c>
      <c r="D237" t="s">
        <v>19</v>
      </c>
      <c r="F237" t="s">
        <v>103</v>
      </c>
      <c r="G237" t="s">
        <v>29</v>
      </c>
      <c r="H237">
        <v>2023</v>
      </c>
      <c r="I237" s="2">
        <v>41490</v>
      </c>
    </row>
    <row r="238" spans="1:9" x14ac:dyDescent="0.2">
      <c r="A238" t="s">
        <v>98</v>
      </c>
      <c r="B238" t="s">
        <v>17</v>
      </c>
      <c r="C238" t="s">
        <v>18</v>
      </c>
      <c r="D238" t="s">
        <v>19</v>
      </c>
      <c r="F238" t="s">
        <v>103</v>
      </c>
      <c r="G238" t="s">
        <v>26</v>
      </c>
      <c r="H238">
        <v>2022</v>
      </c>
      <c r="I238" s="2">
        <v>57920</v>
      </c>
    </row>
    <row r="239" spans="1:9" x14ac:dyDescent="0.2">
      <c r="A239" t="s">
        <v>98</v>
      </c>
      <c r="B239" t="s">
        <v>17</v>
      </c>
      <c r="C239" t="s">
        <v>18</v>
      </c>
      <c r="D239" t="s">
        <v>19</v>
      </c>
      <c r="F239" t="s">
        <v>103</v>
      </c>
      <c r="G239" t="s">
        <v>27</v>
      </c>
      <c r="H239">
        <v>2022</v>
      </c>
      <c r="I239" s="2">
        <v>320</v>
      </c>
    </row>
    <row r="240" spans="1:9" x14ac:dyDescent="0.2">
      <c r="A240" t="s">
        <v>98</v>
      </c>
      <c r="B240" t="s">
        <v>17</v>
      </c>
      <c r="C240" t="s">
        <v>18</v>
      </c>
      <c r="D240" t="s">
        <v>19</v>
      </c>
      <c r="F240" t="s">
        <v>103</v>
      </c>
      <c r="G240" t="s">
        <v>28</v>
      </c>
      <c r="H240">
        <v>2022</v>
      </c>
      <c r="I240" s="2">
        <v>16500</v>
      </c>
    </row>
    <row r="241" spans="1:9" x14ac:dyDescent="0.2">
      <c r="A241" t="s">
        <v>98</v>
      </c>
      <c r="B241" t="s">
        <v>17</v>
      </c>
      <c r="C241" t="s">
        <v>18</v>
      </c>
      <c r="D241" t="s">
        <v>19</v>
      </c>
      <c r="F241" t="s">
        <v>103</v>
      </c>
      <c r="G241" t="s">
        <v>29</v>
      </c>
      <c r="H241">
        <v>2022</v>
      </c>
      <c r="I241" s="2">
        <v>32600</v>
      </c>
    </row>
    <row r="242" spans="1:9" x14ac:dyDescent="0.2">
      <c r="A242" t="s">
        <v>98</v>
      </c>
      <c r="B242" t="s">
        <v>17</v>
      </c>
      <c r="C242" t="s">
        <v>18</v>
      </c>
      <c r="D242" t="s">
        <v>30</v>
      </c>
      <c r="F242" t="s">
        <v>100</v>
      </c>
      <c r="G242" t="s">
        <v>31</v>
      </c>
      <c r="H242">
        <v>2024</v>
      </c>
      <c r="I242" s="2">
        <v>140</v>
      </c>
    </row>
    <row r="243" spans="1:9" x14ac:dyDescent="0.2">
      <c r="A243" t="s">
        <v>98</v>
      </c>
      <c r="B243" t="s">
        <v>17</v>
      </c>
      <c r="C243" t="s">
        <v>18</v>
      </c>
      <c r="D243" t="s">
        <v>30</v>
      </c>
      <c r="F243" t="s">
        <v>100</v>
      </c>
      <c r="G243" t="s">
        <v>32</v>
      </c>
      <c r="H243">
        <v>2024</v>
      </c>
      <c r="I243" s="2">
        <v>0</v>
      </c>
    </row>
    <row r="244" spans="1:9" x14ac:dyDescent="0.2">
      <c r="A244" t="s">
        <v>98</v>
      </c>
      <c r="B244" t="s">
        <v>17</v>
      </c>
      <c r="C244" t="s">
        <v>18</v>
      </c>
      <c r="D244" t="s">
        <v>30</v>
      </c>
      <c r="F244" t="s">
        <v>100</v>
      </c>
      <c r="G244" t="s">
        <v>33</v>
      </c>
      <c r="H244">
        <v>2024</v>
      </c>
      <c r="I244" s="2">
        <v>660</v>
      </c>
    </row>
    <row r="245" spans="1:9" x14ac:dyDescent="0.2">
      <c r="A245" t="s">
        <v>98</v>
      </c>
      <c r="B245" t="s">
        <v>17</v>
      </c>
      <c r="C245" t="s">
        <v>18</v>
      </c>
      <c r="D245" t="s">
        <v>30</v>
      </c>
      <c r="F245" t="s">
        <v>100</v>
      </c>
      <c r="G245" t="s">
        <v>34</v>
      </c>
      <c r="H245">
        <v>2024</v>
      </c>
      <c r="I245" s="2">
        <v>1540</v>
      </c>
    </row>
    <row r="246" spans="1:9" x14ac:dyDescent="0.2">
      <c r="A246" t="s">
        <v>98</v>
      </c>
      <c r="B246" t="s">
        <v>17</v>
      </c>
      <c r="C246" t="s">
        <v>18</v>
      </c>
      <c r="D246" t="s">
        <v>30</v>
      </c>
      <c r="F246" t="s">
        <v>100</v>
      </c>
      <c r="G246" t="s">
        <v>35</v>
      </c>
      <c r="H246">
        <v>2024</v>
      </c>
      <c r="I246" s="2">
        <v>1070</v>
      </c>
    </row>
    <row r="247" spans="1:9" x14ac:dyDescent="0.2">
      <c r="A247" t="s">
        <v>98</v>
      </c>
      <c r="B247" t="s">
        <v>17</v>
      </c>
      <c r="C247" t="s">
        <v>18</v>
      </c>
      <c r="D247" t="s">
        <v>30</v>
      </c>
      <c r="F247" t="s">
        <v>100</v>
      </c>
      <c r="G247" t="s">
        <v>31</v>
      </c>
      <c r="H247">
        <v>2023</v>
      </c>
      <c r="I247" s="2">
        <v>300</v>
      </c>
    </row>
    <row r="248" spans="1:9" x14ac:dyDescent="0.2">
      <c r="A248" t="s">
        <v>98</v>
      </c>
      <c r="B248" t="s">
        <v>17</v>
      </c>
      <c r="C248" t="s">
        <v>18</v>
      </c>
      <c r="D248" t="s">
        <v>30</v>
      </c>
      <c r="F248" t="s">
        <v>100</v>
      </c>
      <c r="G248" t="s">
        <v>32</v>
      </c>
      <c r="H248">
        <v>2023</v>
      </c>
      <c r="I248" s="2">
        <v>0</v>
      </c>
    </row>
    <row r="249" spans="1:9" x14ac:dyDescent="0.2">
      <c r="A249" t="s">
        <v>98</v>
      </c>
      <c r="B249" t="s">
        <v>17</v>
      </c>
      <c r="C249" t="s">
        <v>18</v>
      </c>
      <c r="D249" t="s">
        <v>30</v>
      </c>
      <c r="F249" t="s">
        <v>100</v>
      </c>
      <c r="G249" t="s">
        <v>36</v>
      </c>
      <c r="H249">
        <v>2023</v>
      </c>
      <c r="I249" s="2">
        <v>30</v>
      </c>
    </row>
    <row r="250" spans="1:9" x14ac:dyDescent="0.2">
      <c r="A250" t="s">
        <v>98</v>
      </c>
      <c r="B250" t="s">
        <v>17</v>
      </c>
      <c r="C250" t="s">
        <v>18</v>
      </c>
      <c r="D250" t="s">
        <v>30</v>
      </c>
      <c r="F250" t="s">
        <v>100</v>
      </c>
      <c r="G250" t="s">
        <v>33</v>
      </c>
      <c r="H250">
        <v>2023</v>
      </c>
      <c r="I250" s="2">
        <v>240</v>
      </c>
    </row>
    <row r="251" spans="1:9" x14ac:dyDescent="0.2">
      <c r="A251" t="s">
        <v>98</v>
      </c>
      <c r="B251" t="s">
        <v>17</v>
      </c>
      <c r="C251" t="s">
        <v>18</v>
      </c>
      <c r="D251" t="s">
        <v>30</v>
      </c>
      <c r="F251" t="s">
        <v>100</v>
      </c>
      <c r="G251" t="s">
        <v>34</v>
      </c>
      <c r="H251">
        <v>2023</v>
      </c>
      <c r="I251" s="2">
        <v>1180</v>
      </c>
    </row>
    <row r="252" spans="1:9" x14ac:dyDescent="0.2">
      <c r="A252" t="s">
        <v>98</v>
      </c>
      <c r="B252" t="s">
        <v>17</v>
      </c>
      <c r="C252" t="s">
        <v>18</v>
      </c>
      <c r="D252" t="s">
        <v>30</v>
      </c>
      <c r="F252" t="s">
        <v>100</v>
      </c>
      <c r="G252" t="s">
        <v>35</v>
      </c>
      <c r="H252">
        <v>2023</v>
      </c>
      <c r="I252" s="2">
        <v>460</v>
      </c>
    </row>
    <row r="253" spans="1:9" x14ac:dyDescent="0.2">
      <c r="A253" t="s">
        <v>98</v>
      </c>
      <c r="B253" t="s">
        <v>17</v>
      </c>
      <c r="C253" t="s">
        <v>18</v>
      </c>
      <c r="D253" t="s">
        <v>30</v>
      </c>
      <c r="F253" t="s">
        <v>100</v>
      </c>
      <c r="G253" t="s">
        <v>31</v>
      </c>
      <c r="H253">
        <v>2022</v>
      </c>
      <c r="I253" s="2">
        <v>860</v>
      </c>
    </row>
    <row r="254" spans="1:9" x14ac:dyDescent="0.2">
      <c r="A254" t="s">
        <v>98</v>
      </c>
      <c r="B254" t="s">
        <v>17</v>
      </c>
      <c r="C254" t="s">
        <v>18</v>
      </c>
      <c r="D254" t="s">
        <v>30</v>
      </c>
      <c r="F254" t="s">
        <v>100</v>
      </c>
      <c r="G254" t="s">
        <v>32</v>
      </c>
      <c r="H254">
        <v>2022</v>
      </c>
      <c r="I254" s="2">
        <v>60</v>
      </c>
    </row>
    <row r="255" spans="1:9" x14ac:dyDescent="0.2">
      <c r="A255" t="s">
        <v>98</v>
      </c>
      <c r="B255" t="s">
        <v>17</v>
      </c>
      <c r="C255" t="s">
        <v>18</v>
      </c>
      <c r="D255" t="s">
        <v>30</v>
      </c>
      <c r="F255" t="s">
        <v>100</v>
      </c>
      <c r="G255" t="s">
        <v>36</v>
      </c>
      <c r="H255">
        <v>2022</v>
      </c>
      <c r="I255" s="2">
        <v>130</v>
      </c>
    </row>
    <row r="256" spans="1:9" x14ac:dyDescent="0.2">
      <c r="A256" t="s">
        <v>98</v>
      </c>
      <c r="B256" t="s">
        <v>17</v>
      </c>
      <c r="C256" t="s">
        <v>18</v>
      </c>
      <c r="D256" t="s">
        <v>30</v>
      </c>
      <c r="F256" t="s">
        <v>100</v>
      </c>
      <c r="G256" t="s">
        <v>33</v>
      </c>
      <c r="H256">
        <v>2022</v>
      </c>
      <c r="I256" s="2">
        <v>410</v>
      </c>
    </row>
    <row r="257" spans="1:9" x14ac:dyDescent="0.2">
      <c r="A257" t="s">
        <v>98</v>
      </c>
      <c r="B257" t="s">
        <v>17</v>
      </c>
      <c r="C257" t="s">
        <v>18</v>
      </c>
      <c r="D257" t="s">
        <v>30</v>
      </c>
      <c r="F257" t="s">
        <v>100</v>
      </c>
      <c r="G257" t="s">
        <v>34</v>
      </c>
      <c r="H257">
        <v>2022</v>
      </c>
      <c r="I257" s="2">
        <v>1050</v>
      </c>
    </row>
    <row r="258" spans="1:9" x14ac:dyDescent="0.2">
      <c r="A258" t="s">
        <v>98</v>
      </c>
      <c r="B258" t="s">
        <v>17</v>
      </c>
      <c r="C258" t="s">
        <v>18</v>
      </c>
      <c r="D258" t="s">
        <v>30</v>
      </c>
      <c r="F258" t="s">
        <v>100</v>
      </c>
      <c r="G258" t="s">
        <v>35</v>
      </c>
      <c r="H258">
        <v>2022</v>
      </c>
      <c r="I258" s="2">
        <v>500</v>
      </c>
    </row>
    <row r="259" spans="1:9" x14ac:dyDescent="0.2">
      <c r="A259" t="s">
        <v>98</v>
      </c>
      <c r="B259" t="s">
        <v>17</v>
      </c>
      <c r="C259" t="s">
        <v>18</v>
      </c>
      <c r="D259" t="s">
        <v>30</v>
      </c>
      <c r="F259" t="s">
        <v>101</v>
      </c>
      <c r="G259" t="s">
        <v>37</v>
      </c>
      <c r="H259">
        <v>2024</v>
      </c>
      <c r="I259" s="2">
        <v>1680</v>
      </c>
    </row>
    <row r="260" spans="1:9" x14ac:dyDescent="0.2">
      <c r="A260" t="s">
        <v>98</v>
      </c>
      <c r="B260" t="s">
        <v>17</v>
      </c>
      <c r="C260" t="s">
        <v>18</v>
      </c>
      <c r="D260" t="s">
        <v>30</v>
      </c>
      <c r="F260" t="s">
        <v>101</v>
      </c>
      <c r="G260" t="s">
        <v>37</v>
      </c>
      <c r="H260">
        <v>2023</v>
      </c>
      <c r="I260" s="2">
        <v>1530</v>
      </c>
    </row>
    <row r="261" spans="1:9" x14ac:dyDescent="0.2">
      <c r="A261" t="s">
        <v>98</v>
      </c>
      <c r="B261" t="s">
        <v>17</v>
      </c>
      <c r="C261" t="s">
        <v>18</v>
      </c>
      <c r="D261" t="s">
        <v>30</v>
      </c>
      <c r="F261" t="s">
        <v>101</v>
      </c>
      <c r="G261" t="s">
        <v>37</v>
      </c>
      <c r="H261">
        <v>2022</v>
      </c>
      <c r="I261" s="2">
        <v>10</v>
      </c>
    </row>
    <row r="262" spans="1:9" x14ac:dyDescent="0.2">
      <c r="A262" t="s">
        <v>98</v>
      </c>
      <c r="B262" t="s">
        <v>17</v>
      </c>
      <c r="C262" t="s">
        <v>18</v>
      </c>
      <c r="D262" t="s">
        <v>30</v>
      </c>
      <c r="F262" t="s">
        <v>103</v>
      </c>
      <c r="G262" t="s">
        <v>38</v>
      </c>
      <c r="H262">
        <v>2024</v>
      </c>
      <c r="I262" s="2">
        <v>250</v>
      </c>
    </row>
    <row r="263" spans="1:9" x14ac:dyDescent="0.2">
      <c r="A263" t="s">
        <v>98</v>
      </c>
      <c r="B263" t="s">
        <v>17</v>
      </c>
      <c r="C263" t="s">
        <v>18</v>
      </c>
      <c r="D263" t="s">
        <v>30</v>
      </c>
      <c r="F263" t="s">
        <v>103</v>
      </c>
      <c r="G263" t="s">
        <v>39</v>
      </c>
      <c r="H263">
        <v>2024</v>
      </c>
      <c r="I263" s="2">
        <v>440</v>
      </c>
    </row>
    <row r="264" spans="1:9" x14ac:dyDescent="0.2">
      <c r="A264" t="s">
        <v>98</v>
      </c>
      <c r="B264" t="s">
        <v>17</v>
      </c>
      <c r="C264" t="s">
        <v>18</v>
      </c>
      <c r="D264" t="s">
        <v>30</v>
      </c>
      <c r="F264" t="s">
        <v>103</v>
      </c>
      <c r="G264" t="s">
        <v>40</v>
      </c>
      <c r="H264">
        <v>2024</v>
      </c>
      <c r="I264" s="2">
        <v>390</v>
      </c>
    </row>
    <row r="265" spans="1:9" x14ac:dyDescent="0.2">
      <c r="A265" t="s">
        <v>98</v>
      </c>
      <c r="B265" t="s">
        <v>17</v>
      </c>
      <c r="C265" t="s">
        <v>18</v>
      </c>
      <c r="D265" t="s">
        <v>30</v>
      </c>
      <c r="F265" t="s">
        <v>103</v>
      </c>
      <c r="G265" t="s">
        <v>41</v>
      </c>
      <c r="H265">
        <v>2024</v>
      </c>
      <c r="I265" s="2">
        <v>110</v>
      </c>
    </row>
    <row r="266" spans="1:9" x14ac:dyDescent="0.2">
      <c r="A266" t="s">
        <v>98</v>
      </c>
      <c r="B266" t="s">
        <v>17</v>
      </c>
      <c r="C266" t="s">
        <v>18</v>
      </c>
      <c r="D266" t="s">
        <v>30</v>
      </c>
      <c r="F266" t="s">
        <v>103</v>
      </c>
      <c r="G266" t="s">
        <v>42</v>
      </c>
      <c r="H266">
        <v>2024</v>
      </c>
      <c r="I266" s="2">
        <v>2610</v>
      </c>
    </row>
    <row r="267" spans="1:9" x14ac:dyDescent="0.2">
      <c r="A267" t="s">
        <v>98</v>
      </c>
      <c r="B267" t="s">
        <v>17</v>
      </c>
      <c r="C267" t="s">
        <v>18</v>
      </c>
      <c r="D267" t="s">
        <v>30</v>
      </c>
      <c r="F267" t="s">
        <v>103</v>
      </c>
      <c r="G267" t="s">
        <v>43</v>
      </c>
      <c r="H267">
        <v>2024</v>
      </c>
      <c r="I267" s="2">
        <v>50</v>
      </c>
    </row>
    <row r="268" spans="1:9" x14ac:dyDescent="0.2">
      <c r="A268" t="s">
        <v>98</v>
      </c>
      <c r="B268" t="s">
        <v>17</v>
      </c>
      <c r="C268" t="s">
        <v>18</v>
      </c>
      <c r="D268" t="s">
        <v>30</v>
      </c>
      <c r="F268" t="s">
        <v>103</v>
      </c>
      <c r="G268" t="s">
        <v>38</v>
      </c>
      <c r="H268">
        <v>2023</v>
      </c>
      <c r="I268" s="2">
        <v>290</v>
      </c>
    </row>
    <row r="269" spans="1:9" x14ac:dyDescent="0.2">
      <c r="A269" t="s">
        <v>98</v>
      </c>
      <c r="B269" t="s">
        <v>17</v>
      </c>
      <c r="C269" t="s">
        <v>18</v>
      </c>
      <c r="D269" t="s">
        <v>30</v>
      </c>
      <c r="F269" t="s">
        <v>103</v>
      </c>
      <c r="G269" t="s">
        <v>39</v>
      </c>
      <c r="H269">
        <v>2023</v>
      </c>
      <c r="I269" s="2">
        <v>600</v>
      </c>
    </row>
    <row r="270" spans="1:9" x14ac:dyDescent="0.2">
      <c r="A270" t="s">
        <v>98</v>
      </c>
      <c r="B270" t="s">
        <v>17</v>
      </c>
      <c r="C270" t="s">
        <v>18</v>
      </c>
      <c r="D270" t="s">
        <v>30</v>
      </c>
      <c r="F270" t="s">
        <v>103</v>
      </c>
      <c r="G270" t="s">
        <v>40</v>
      </c>
      <c r="H270">
        <v>2023</v>
      </c>
      <c r="I270" s="2">
        <v>340</v>
      </c>
    </row>
    <row r="271" spans="1:9" x14ac:dyDescent="0.2">
      <c r="A271" t="s">
        <v>98</v>
      </c>
      <c r="B271" t="s">
        <v>17</v>
      </c>
      <c r="C271" t="s">
        <v>18</v>
      </c>
      <c r="D271" t="s">
        <v>30</v>
      </c>
      <c r="F271" t="s">
        <v>103</v>
      </c>
      <c r="G271" t="s">
        <v>41</v>
      </c>
      <c r="H271">
        <v>2023</v>
      </c>
      <c r="I271" s="2">
        <v>230</v>
      </c>
    </row>
    <row r="272" spans="1:9" x14ac:dyDescent="0.2">
      <c r="A272" t="s">
        <v>98</v>
      </c>
      <c r="B272" t="s">
        <v>17</v>
      </c>
      <c r="C272" t="s">
        <v>18</v>
      </c>
      <c r="D272" t="s">
        <v>30</v>
      </c>
      <c r="F272" t="s">
        <v>103</v>
      </c>
      <c r="G272" t="s">
        <v>42</v>
      </c>
      <c r="H272">
        <v>2023</v>
      </c>
      <c r="I272" s="2">
        <v>3460</v>
      </c>
    </row>
    <row r="273" spans="1:9" x14ac:dyDescent="0.2">
      <c r="A273" t="s">
        <v>98</v>
      </c>
      <c r="B273" t="s">
        <v>17</v>
      </c>
      <c r="C273" t="s">
        <v>18</v>
      </c>
      <c r="D273" t="s">
        <v>30</v>
      </c>
      <c r="F273" t="s">
        <v>103</v>
      </c>
      <c r="G273" t="s">
        <v>43</v>
      </c>
      <c r="H273">
        <v>2023</v>
      </c>
      <c r="I273" s="2">
        <v>110</v>
      </c>
    </row>
    <row r="274" spans="1:9" x14ac:dyDescent="0.2">
      <c r="A274" t="s">
        <v>98</v>
      </c>
      <c r="B274" t="s">
        <v>17</v>
      </c>
      <c r="C274" t="s">
        <v>18</v>
      </c>
      <c r="D274" t="s">
        <v>30</v>
      </c>
      <c r="F274" t="s">
        <v>103</v>
      </c>
      <c r="G274" t="s">
        <v>38</v>
      </c>
      <c r="H274">
        <v>2022</v>
      </c>
      <c r="I274" s="2">
        <v>290</v>
      </c>
    </row>
    <row r="275" spans="1:9" x14ac:dyDescent="0.2">
      <c r="A275" t="s">
        <v>98</v>
      </c>
      <c r="B275" t="s">
        <v>17</v>
      </c>
      <c r="C275" t="s">
        <v>18</v>
      </c>
      <c r="D275" t="s">
        <v>30</v>
      </c>
      <c r="F275" t="s">
        <v>103</v>
      </c>
      <c r="G275" t="s">
        <v>39</v>
      </c>
      <c r="H275">
        <v>2022</v>
      </c>
      <c r="I275" s="2">
        <v>740</v>
      </c>
    </row>
    <row r="276" spans="1:9" x14ac:dyDescent="0.2">
      <c r="A276" t="s">
        <v>98</v>
      </c>
      <c r="B276" t="s">
        <v>17</v>
      </c>
      <c r="C276" t="s">
        <v>18</v>
      </c>
      <c r="D276" t="s">
        <v>30</v>
      </c>
      <c r="F276" t="s">
        <v>103</v>
      </c>
      <c r="G276" t="s">
        <v>40</v>
      </c>
      <c r="H276">
        <v>2022</v>
      </c>
      <c r="I276" s="2">
        <v>40</v>
      </c>
    </row>
    <row r="277" spans="1:9" x14ac:dyDescent="0.2">
      <c r="A277" t="s">
        <v>98</v>
      </c>
      <c r="B277" t="s">
        <v>17</v>
      </c>
      <c r="C277" t="s">
        <v>18</v>
      </c>
      <c r="D277" t="s">
        <v>30</v>
      </c>
      <c r="F277" t="s">
        <v>103</v>
      </c>
      <c r="G277" t="s">
        <v>41</v>
      </c>
      <c r="H277">
        <v>2022</v>
      </c>
      <c r="I277" s="2">
        <v>330</v>
      </c>
    </row>
    <row r="278" spans="1:9" x14ac:dyDescent="0.2">
      <c r="A278" t="s">
        <v>98</v>
      </c>
      <c r="B278" t="s">
        <v>17</v>
      </c>
      <c r="C278" t="s">
        <v>18</v>
      </c>
      <c r="D278" t="s">
        <v>30</v>
      </c>
      <c r="F278" t="s">
        <v>103</v>
      </c>
      <c r="G278" t="s">
        <v>42</v>
      </c>
      <c r="H278">
        <v>2022</v>
      </c>
      <c r="I278" s="2">
        <v>5470</v>
      </c>
    </row>
    <row r="279" spans="1:9" x14ac:dyDescent="0.2">
      <c r="A279" t="s">
        <v>98</v>
      </c>
      <c r="B279" t="s">
        <v>17</v>
      </c>
      <c r="C279" t="s">
        <v>18</v>
      </c>
      <c r="D279" t="s">
        <v>30</v>
      </c>
      <c r="F279" t="s">
        <v>103</v>
      </c>
      <c r="G279" t="s">
        <v>43</v>
      </c>
      <c r="H279">
        <v>2022</v>
      </c>
      <c r="I279" s="2">
        <v>130</v>
      </c>
    </row>
    <row r="280" spans="1:9" x14ac:dyDescent="0.2">
      <c r="A280" t="s">
        <v>98</v>
      </c>
      <c r="B280" t="s">
        <v>17</v>
      </c>
      <c r="C280" t="s">
        <v>18</v>
      </c>
      <c r="D280" t="s">
        <v>30</v>
      </c>
      <c r="F280" t="s">
        <v>102</v>
      </c>
      <c r="G280" t="s">
        <v>44</v>
      </c>
      <c r="H280">
        <v>2024</v>
      </c>
      <c r="I280" s="2">
        <v>16480</v>
      </c>
    </row>
    <row r="281" spans="1:9" x14ac:dyDescent="0.2">
      <c r="A281" t="s">
        <v>98</v>
      </c>
      <c r="B281" t="s">
        <v>17</v>
      </c>
      <c r="C281" t="s">
        <v>18</v>
      </c>
      <c r="D281" t="s">
        <v>30</v>
      </c>
      <c r="F281" t="s">
        <v>102</v>
      </c>
      <c r="G281" t="s">
        <v>44</v>
      </c>
      <c r="H281">
        <v>2023</v>
      </c>
      <c r="I281" s="2">
        <v>28540</v>
      </c>
    </row>
    <row r="282" spans="1:9" x14ac:dyDescent="0.2">
      <c r="A282" t="s">
        <v>98</v>
      </c>
      <c r="B282" t="s">
        <v>17</v>
      </c>
      <c r="C282" t="s">
        <v>18</v>
      </c>
      <c r="D282" t="s">
        <v>30</v>
      </c>
      <c r="F282" t="s">
        <v>102</v>
      </c>
      <c r="G282" t="s">
        <v>44</v>
      </c>
      <c r="H282">
        <v>2022</v>
      </c>
      <c r="I282" s="2">
        <v>27530</v>
      </c>
    </row>
    <row r="283" spans="1:9" x14ac:dyDescent="0.2">
      <c r="A283" t="s">
        <v>98</v>
      </c>
      <c r="B283" t="s">
        <v>45</v>
      </c>
      <c r="C283" t="s">
        <v>18</v>
      </c>
      <c r="E283" t="s">
        <v>46</v>
      </c>
      <c r="F283" t="s">
        <v>101</v>
      </c>
      <c r="G283" t="s">
        <v>47</v>
      </c>
      <c r="H283">
        <v>2024</v>
      </c>
      <c r="I283" s="2">
        <v>1690</v>
      </c>
    </row>
    <row r="284" spans="1:9" x14ac:dyDescent="0.2">
      <c r="A284" t="s">
        <v>98</v>
      </c>
      <c r="B284" t="s">
        <v>45</v>
      </c>
      <c r="C284" t="s">
        <v>18</v>
      </c>
      <c r="E284" t="s">
        <v>46</v>
      </c>
      <c r="F284" t="s">
        <v>101</v>
      </c>
      <c r="G284" t="s">
        <v>48</v>
      </c>
      <c r="H284">
        <v>2024</v>
      </c>
      <c r="I284" s="2">
        <v>110</v>
      </c>
    </row>
    <row r="285" spans="1:9" x14ac:dyDescent="0.2">
      <c r="A285" t="s">
        <v>98</v>
      </c>
      <c r="B285" t="s">
        <v>45</v>
      </c>
      <c r="C285" t="s">
        <v>18</v>
      </c>
      <c r="E285" t="s">
        <v>46</v>
      </c>
      <c r="F285" t="s">
        <v>101</v>
      </c>
      <c r="G285" t="s">
        <v>47</v>
      </c>
      <c r="H285">
        <v>2023</v>
      </c>
      <c r="I285" s="2">
        <v>1360</v>
      </c>
    </row>
    <row r="286" spans="1:9" x14ac:dyDescent="0.2">
      <c r="A286" t="s">
        <v>98</v>
      </c>
      <c r="B286" t="s">
        <v>45</v>
      </c>
      <c r="C286" t="s">
        <v>18</v>
      </c>
      <c r="E286" t="s">
        <v>46</v>
      </c>
      <c r="F286" t="s">
        <v>101</v>
      </c>
      <c r="G286" t="s">
        <v>48</v>
      </c>
      <c r="H286">
        <v>2023</v>
      </c>
      <c r="I286" s="2">
        <v>250</v>
      </c>
    </row>
    <row r="287" spans="1:9" x14ac:dyDescent="0.2">
      <c r="A287" t="s">
        <v>98</v>
      </c>
      <c r="B287" t="s">
        <v>45</v>
      </c>
      <c r="C287" t="s">
        <v>18</v>
      </c>
      <c r="E287" t="s">
        <v>46</v>
      </c>
      <c r="F287" t="s">
        <v>101</v>
      </c>
      <c r="G287" t="s">
        <v>47</v>
      </c>
      <c r="H287">
        <v>2022</v>
      </c>
      <c r="I287" s="2">
        <v>10</v>
      </c>
    </row>
    <row r="288" spans="1:9" x14ac:dyDescent="0.2">
      <c r="A288" t="s">
        <v>98</v>
      </c>
      <c r="B288" t="s">
        <v>45</v>
      </c>
      <c r="C288" t="s">
        <v>18</v>
      </c>
      <c r="E288" t="s">
        <v>46</v>
      </c>
      <c r="F288" t="s">
        <v>101</v>
      </c>
      <c r="G288" t="s">
        <v>48</v>
      </c>
      <c r="H288">
        <v>2022</v>
      </c>
      <c r="I288" s="2">
        <v>20</v>
      </c>
    </row>
    <row r="289" spans="1:9" x14ac:dyDescent="0.2">
      <c r="A289" t="s">
        <v>98</v>
      </c>
      <c r="B289" t="s">
        <v>45</v>
      </c>
      <c r="C289" t="s">
        <v>18</v>
      </c>
      <c r="E289" t="s">
        <v>46</v>
      </c>
      <c r="F289" t="s">
        <v>102</v>
      </c>
      <c r="G289" t="s">
        <v>49</v>
      </c>
      <c r="H289">
        <v>2024</v>
      </c>
      <c r="I289" s="2">
        <v>1950</v>
      </c>
    </row>
    <row r="290" spans="1:9" x14ac:dyDescent="0.2">
      <c r="A290" t="s">
        <v>98</v>
      </c>
      <c r="B290" t="s">
        <v>45</v>
      </c>
      <c r="C290" t="s">
        <v>18</v>
      </c>
      <c r="E290" t="s">
        <v>46</v>
      </c>
      <c r="F290" t="s">
        <v>102</v>
      </c>
      <c r="G290" t="s">
        <v>50</v>
      </c>
      <c r="H290">
        <v>2024</v>
      </c>
      <c r="I290" s="2">
        <v>540</v>
      </c>
    </row>
    <row r="291" spans="1:9" x14ac:dyDescent="0.2">
      <c r="A291" t="s">
        <v>98</v>
      </c>
      <c r="B291" t="s">
        <v>45</v>
      </c>
      <c r="C291" t="s">
        <v>18</v>
      </c>
      <c r="E291" t="s">
        <v>46</v>
      </c>
      <c r="F291" t="s">
        <v>102</v>
      </c>
      <c r="G291" t="s">
        <v>51</v>
      </c>
      <c r="H291">
        <v>2024</v>
      </c>
      <c r="I291" s="2">
        <v>340</v>
      </c>
    </row>
    <row r="292" spans="1:9" x14ac:dyDescent="0.2">
      <c r="A292" t="s">
        <v>98</v>
      </c>
      <c r="B292" t="s">
        <v>45</v>
      </c>
      <c r="C292" t="s">
        <v>18</v>
      </c>
      <c r="E292" t="s">
        <v>46</v>
      </c>
      <c r="F292" t="s">
        <v>102</v>
      </c>
      <c r="G292" t="s">
        <v>52</v>
      </c>
      <c r="H292">
        <v>2024</v>
      </c>
      <c r="I292" s="2">
        <v>15470</v>
      </c>
    </row>
    <row r="293" spans="1:9" x14ac:dyDescent="0.2">
      <c r="A293" t="s">
        <v>98</v>
      </c>
      <c r="B293" t="s">
        <v>45</v>
      </c>
      <c r="C293" t="s">
        <v>18</v>
      </c>
      <c r="E293" t="s">
        <v>46</v>
      </c>
      <c r="F293" t="s">
        <v>102</v>
      </c>
      <c r="G293" t="s">
        <v>53</v>
      </c>
      <c r="H293">
        <v>2024</v>
      </c>
      <c r="I293" s="2">
        <v>2430</v>
      </c>
    </row>
    <row r="294" spans="1:9" x14ac:dyDescent="0.2">
      <c r="A294" t="s">
        <v>98</v>
      </c>
      <c r="B294" t="s">
        <v>45</v>
      </c>
      <c r="C294" t="s">
        <v>18</v>
      </c>
      <c r="E294" t="s">
        <v>46</v>
      </c>
      <c r="F294" t="s">
        <v>102</v>
      </c>
      <c r="G294" t="s">
        <v>49</v>
      </c>
      <c r="H294">
        <v>2023</v>
      </c>
      <c r="I294" s="2">
        <v>1890</v>
      </c>
    </row>
    <row r="295" spans="1:9" x14ac:dyDescent="0.2">
      <c r="A295" t="s">
        <v>98</v>
      </c>
      <c r="B295" t="s">
        <v>45</v>
      </c>
      <c r="C295" t="s">
        <v>18</v>
      </c>
      <c r="E295" t="s">
        <v>46</v>
      </c>
      <c r="F295" t="s">
        <v>102</v>
      </c>
      <c r="G295" t="s">
        <v>50</v>
      </c>
      <c r="H295">
        <v>2023</v>
      </c>
      <c r="I295" s="2">
        <v>540</v>
      </c>
    </row>
    <row r="296" spans="1:9" x14ac:dyDescent="0.2">
      <c r="A296" t="s">
        <v>98</v>
      </c>
      <c r="B296" t="s">
        <v>45</v>
      </c>
      <c r="C296" t="s">
        <v>18</v>
      </c>
      <c r="E296" t="s">
        <v>46</v>
      </c>
      <c r="F296" t="s">
        <v>102</v>
      </c>
      <c r="G296" t="s">
        <v>51</v>
      </c>
      <c r="H296">
        <v>2023</v>
      </c>
      <c r="I296" s="2">
        <v>620</v>
      </c>
    </row>
    <row r="297" spans="1:9" x14ac:dyDescent="0.2">
      <c r="A297" t="s">
        <v>98</v>
      </c>
      <c r="B297" t="s">
        <v>45</v>
      </c>
      <c r="C297" t="s">
        <v>18</v>
      </c>
      <c r="E297" t="s">
        <v>46</v>
      </c>
      <c r="F297" t="s">
        <v>102</v>
      </c>
      <c r="G297" t="s">
        <v>52</v>
      </c>
      <c r="H297">
        <v>2023</v>
      </c>
      <c r="I297" s="2">
        <v>24980</v>
      </c>
    </row>
    <row r="298" spans="1:9" x14ac:dyDescent="0.2">
      <c r="A298" t="s">
        <v>98</v>
      </c>
      <c r="B298" t="s">
        <v>45</v>
      </c>
      <c r="C298" t="s">
        <v>18</v>
      </c>
      <c r="E298" t="s">
        <v>46</v>
      </c>
      <c r="F298" t="s">
        <v>102</v>
      </c>
      <c r="G298" t="s">
        <v>53</v>
      </c>
      <c r="H298">
        <v>2023</v>
      </c>
      <c r="I298" s="2">
        <v>4730</v>
      </c>
    </row>
    <row r="299" spans="1:9" x14ac:dyDescent="0.2">
      <c r="A299" t="s">
        <v>98</v>
      </c>
      <c r="B299" t="s">
        <v>45</v>
      </c>
      <c r="C299" t="s">
        <v>18</v>
      </c>
      <c r="E299" t="s">
        <v>46</v>
      </c>
      <c r="F299" t="s">
        <v>102</v>
      </c>
      <c r="G299" t="s">
        <v>54</v>
      </c>
      <c r="H299">
        <v>2023</v>
      </c>
      <c r="I299" s="2">
        <v>0</v>
      </c>
    </row>
    <row r="300" spans="1:9" x14ac:dyDescent="0.2">
      <c r="A300" t="s">
        <v>98</v>
      </c>
      <c r="B300" t="s">
        <v>45</v>
      </c>
      <c r="C300" t="s">
        <v>18</v>
      </c>
      <c r="E300" t="s">
        <v>46</v>
      </c>
      <c r="F300" t="s">
        <v>102</v>
      </c>
      <c r="G300" t="s">
        <v>49</v>
      </c>
      <c r="H300">
        <v>2022</v>
      </c>
      <c r="I300" s="2">
        <v>500</v>
      </c>
    </row>
    <row r="301" spans="1:9" x14ac:dyDescent="0.2">
      <c r="A301" t="s">
        <v>98</v>
      </c>
      <c r="B301" t="s">
        <v>45</v>
      </c>
      <c r="C301" t="s">
        <v>18</v>
      </c>
      <c r="E301" t="s">
        <v>46</v>
      </c>
      <c r="F301" t="s">
        <v>102</v>
      </c>
      <c r="G301" t="s">
        <v>50</v>
      </c>
      <c r="H301">
        <v>2022</v>
      </c>
      <c r="I301" s="2">
        <v>560</v>
      </c>
    </row>
    <row r="302" spans="1:9" x14ac:dyDescent="0.2">
      <c r="A302" t="s">
        <v>98</v>
      </c>
      <c r="B302" t="s">
        <v>45</v>
      </c>
      <c r="C302" t="s">
        <v>18</v>
      </c>
      <c r="E302" t="s">
        <v>46</v>
      </c>
      <c r="F302" t="s">
        <v>102</v>
      </c>
      <c r="G302" t="s">
        <v>51</v>
      </c>
      <c r="H302">
        <v>2022</v>
      </c>
      <c r="I302" s="2">
        <v>1950</v>
      </c>
    </row>
    <row r="303" spans="1:9" x14ac:dyDescent="0.2">
      <c r="A303" t="s">
        <v>98</v>
      </c>
      <c r="B303" t="s">
        <v>45</v>
      </c>
      <c r="C303" t="s">
        <v>18</v>
      </c>
      <c r="E303" t="s">
        <v>46</v>
      </c>
      <c r="F303" t="s">
        <v>102</v>
      </c>
      <c r="G303" t="s">
        <v>52</v>
      </c>
      <c r="H303">
        <v>2022</v>
      </c>
      <c r="I303" s="2">
        <v>21780</v>
      </c>
    </row>
    <row r="304" spans="1:9" x14ac:dyDescent="0.2">
      <c r="A304" t="s">
        <v>98</v>
      </c>
      <c r="B304" t="s">
        <v>45</v>
      </c>
      <c r="C304" t="s">
        <v>18</v>
      </c>
      <c r="E304" t="s">
        <v>46</v>
      </c>
      <c r="F304" t="s">
        <v>102</v>
      </c>
      <c r="G304" t="s">
        <v>53</v>
      </c>
      <c r="H304">
        <v>2022</v>
      </c>
      <c r="I304" s="2">
        <v>6230</v>
      </c>
    </row>
    <row r="305" spans="1:9" x14ac:dyDescent="0.2">
      <c r="A305" t="s">
        <v>98</v>
      </c>
      <c r="B305" t="s">
        <v>45</v>
      </c>
      <c r="C305" t="s">
        <v>18</v>
      </c>
      <c r="E305" t="s">
        <v>55</v>
      </c>
      <c r="F305" t="s">
        <v>101</v>
      </c>
      <c r="G305" t="s">
        <v>56</v>
      </c>
      <c r="H305">
        <v>2024</v>
      </c>
      <c r="I305" s="2">
        <v>580</v>
      </c>
    </row>
    <row r="306" spans="1:9" x14ac:dyDescent="0.2">
      <c r="A306" t="s">
        <v>98</v>
      </c>
      <c r="B306" t="s">
        <v>45</v>
      </c>
      <c r="C306" t="s">
        <v>18</v>
      </c>
      <c r="E306" t="s">
        <v>55</v>
      </c>
      <c r="F306" t="s">
        <v>101</v>
      </c>
      <c r="G306" t="s">
        <v>57</v>
      </c>
      <c r="H306">
        <v>2024</v>
      </c>
      <c r="I306" s="2">
        <v>45240</v>
      </c>
    </row>
    <row r="307" spans="1:9" x14ac:dyDescent="0.2">
      <c r="A307" t="s">
        <v>98</v>
      </c>
      <c r="B307" t="s">
        <v>45</v>
      </c>
      <c r="C307" t="s">
        <v>18</v>
      </c>
      <c r="E307" t="s">
        <v>55</v>
      </c>
      <c r="F307" t="s">
        <v>101</v>
      </c>
      <c r="G307" t="s">
        <v>58</v>
      </c>
      <c r="H307">
        <v>2024</v>
      </c>
      <c r="I307" s="2">
        <v>20</v>
      </c>
    </row>
    <row r="308" spans="1:9" x14ac:dyDescent="0.2">
      <c r="A308" t="s">
        <v>98</v>
      </c>
      <c r="B308" t="s">
        <v>45</v>
      </c>
      <c r="C308" t="s">
        <v>18</v>
      </c>
      <c r="E308" t="s">
        <v>55</v>
      </c>
      <c r="F308" t="s">
        <v>101</v>
      </c>
      <c r="G308" t="s">
        <v>57</v>
      </c>
      <c r="H308">
        <v>2023</v>
      </c>
      <c r="I308" s="2">
        <v>30</v>
      </c>
    </row>
    <row r="309" spans="1:9" x14ac:dyDescent="0.2">
      <c r="A309" t="s">
        <v>98</v>
      </c>
      <c r="B309" t="s">
        <v>45</v>
      </c>
      <c r="C309" t="s">
        <v>18</v>
      </c>
      <c r="E309" t="s">
        <v>55</v>
      </c>
      <c r="F309" t="s">
        <v>103</v>
      </c>
      <c r="G309" t="s">
        <v>59</v>
      </c>
      <c r="H309">
        <v>2024</v>
      </c>
      <c r="I309" s="2">
        <v>170</v>
      </c>
    </row>
    <row r="310" spans="1:9" x14ac:dyDescent="0.2">
      <c r="A310" t="s">
        <v>98</v>
      </c>
      <c r="B310" t="s">
        <v>45</v>
      </c>
      <c r="C310" t="s">
        <v>18</v>
      </c>
      <c r="E310" t="s">
        <v>55</v>
      </c>
      <c r="F310" t="s">
        <v>102</v>
      </c>
      <c r="G310" t="s">
        <v>60</v>
      </c>
      <c r="H310">
        <v>2024</v>
      </c>
      <c r="I310" s="2">
        <v>220</v>
      </c>
    </row>
    <row r="311" spans="1:9" x14ac:dyDescent="0.2">
      <c r="A311" t="s">
        <v>98</v>
      </c>
      <c r="B311" t="s">
        <v>45</v>
      </c>
      <c r="C311" t="s">
        <v>18</v>
      </c>
      <c r="E311" t="s">
        <v>55</v>
      </c>
      <c r="F311" t="s">
        <v>102</v>
      </c>
      <c r="G311" t="s">
        <v>61</v>
      </c>
      <c r="H311">
        <v>2024</v>
      </c>
      <c r="I311" s="2">
        <v>8660</v>
      </c>
    </row>
    <row r="312" spans="1:9" x14ac:dyDescent="0.2">
      <c r="A312" t="s">
        <v>98</v>
      </c>
      <c r="B312" t="s">
        <v>45</v>
      </c>
      <c r="C312" t="s">
        <v>18</v>
      </c>
      <c r="E312" t="s">
        <v>62</v>
      </c>
      <c r="F312" t="s">
        <v>100</v>
      </c>
      <c r="G312" t="s">
        <v>63</v>
      </c>
      <c r="H312">
        <v>2024</v>
      </c>
      <c r="I312" s="2">
        <v>10</v>
      </c>
    </row>
    <row r="313" spans="1:9" x14ac:dyDescent="0.2">
      <c r="A313" t="s">
        <v>98</v>
      </c>
      <c r="B313" t="s">
        <v>45</v>
      </c>
      <c r="C313" t="s">
        <v>18</v>
      </c>
      <c r="E313" t="s">
        <v>62</v>
      </c>
      <c r="F313" t="s">
        <v>100</v>
      </c>
      <c r="G313" t="s">
        <v>64</v>
      </c>
      <c r="H313">
        <v>2024</v>
      </c>
      <c r="I313" s="2">
        <v>28830</v>
      </c>
    </row>
    <row r="314" spans="1:9" x14ac:dyDescent="0.2">
      <c r="A314" t="s">
        <v>98</v>
      </c>
      <c r="B314" t="s">
        <v>45</v>
      </c>
      <c r="C314" t="s">
        <v>18</v>
      </c>
      <c r="E314" t="s">
        <v>62</v>
      </c>
      <c r="F314" t="s">
        <v>100</v>
      </c>
      <c r="G314" t="s">
        <v>65</v>
      </c>
      <c r="H314">
        <v>2024</v>
      </c>
      <c r="I314" s="2">
        <v>13810</v>
      </c>
    </row>
    <row r="315" spans="1:9" x14ac:dyDescent="0.2">
      <c r="A315" t="s">
        <v>98</v>
      </c>
      <c r="B315" t="s">
        <v>45</v>
      </c>
      <c r="C315" t="s">
        <v>18</v>
      </c>
      <c r="E315" t="s">
        <v>62</v>
      </c>
      <c r="F315" t="s">
        <v>100</v>
      </c>
      <c r="G315" t="s">
        <v>66</v>
      </c>
      <c r="H315">
        <v>2024</v>
      </c>
      <c r="I315" s="2">
        <v>1830</v>
      </c>
    </row>
    <row r="316" spans="1:9" x14ac:dyDescent="0.2">
      <c r="A316" t="s">
        <v>98</v>
      </c>
      <c r="B316" t="s">
        <v>45</v>
      </c>
      <c r="C316" t="s">
        <v>18</v>
      </c>
      <c r="E316" t="s">
        <v>62</v>
      </c>
      <c r="F316" t="s">
        <v>100</v>
      </c>
      <c r="G316" t="s">
        <v>67</v>
      </c>
      <c r="H316">
        <v>2024</v>
      </c>
      <c r="I316" s="2">
        <v>1970</v>
      </c>
    </row>
    <row r="317" spans="1:9" x14ac:dyDescent="0.2">
      <c r="A317" t="s">
        <v>98</v>
      </c>
      <c r="B317" t="s">
        <v>45</v>
      </c>
      <c r="C317" t="s">
        <v>18</v>
      </c>
      <c r="E317" t="s">
        <v>62</v>
      </c>
      <c r="F317" t="s">
        <v>100</v>
      </c>
      <c r="G317" t="s">
        <v>63</v>
      </c>
      <c r="H317">
        <v>2023</v>
      </c>
      <c r="I317" s="2">
        <v>10</v>
      </c>
    </row>
    <row r="318" spans="1:9" x14ac:dyDescent="0.2">
      <c r="A318" t="s">
        <v>98</v>
      </c>
      <c r="B318" t="s">
        <v>45</v>
      </c>
      <c r="C318" t="s">
        <v>18</v>
      </c>
      <c r="E318" t="s">
        <v>62</v>
      </c>
      <c r="F318" t="s">
        <v>100</v>
      </c>
      <c r="G318" t="s">
        <v>64</v>
      </c>
      <c r="H318">
        <v>2023</v>
      </c>
      <c r="I318" s="2">
        <v>8070</v>
      </c>
    </row>
    <row r="319" spans="1:9" x14ac:dyDescent="0.2">
      <c r="A319" t="s">
        <v>98</v>
      </c>
      <c r="B319" t="s">
        <v>45</v>
      </c>
      <c r="C319" t="s">
        <v>18</v>
      </c>
      <c r="E319" t="s">
        <v>62</v>
      </c>
      <c r="F319" t="s">
        <v>100</v>
      </c>
      <c r="G319" t="s">
        <v>65</v>
      </c>
      <c r="H319">
        <v>2023</v>
      </c>
      <c r="I319" s="2">
        <v>31590</v>
      </c>
    </row>
    <row r="320" spans="1:9" x14ac:dyDescent="0.2">
      <c r="A320" t="s">
        <v>98</v>
      </c>
      <c r="B320" t="s">
        <v>45</v>
      </c>
      <c r="C320" t="s">
        <v>18</v>
      </c>
      <c r="E320" t="s">
        <v>62</v>
      </c>
      <c r="F320" t="s">
        <v>100</v>
      </c>
      <c r="G320" t="s">
        <v>68</v>
      </c>
      <c r="H320">
        <v>2023</v>
      </c>
      <c r="I320" s="2">
        <v>30</v>
      </c>
    </row>
    <row r="321" spans="1:9" x14ac:dyDescent="0.2">
      <c r="A321" t="s">
        <v>98</v>
      </c>
      <c r="B321" t="s">
        <v>45</v>
      </c>
      <c r="C321" t="s">
        <v>18</v>
      </c>
      <c r="E321" t="s">
        <v>62</v>
      </c>
      <c r="F321" t="s">
        <v>100</v>
      </c>
      <c r="G321" t="s">
        <v>69</v>
      </c>
      <c r="H321">
        <v>2023</v>
      </c>
      <c r="I321" s="2">
        <v>0</v>
      </c>
    </row>
    <row r="322" spans="1:9" x14ac:dyDescent="0.2">
      <c r="A322" t="s">
        <v>98</v>
      </c>
      <c r="B322" t="s">
        <v>45</v>
      </c>
      <c r="C322" t="s">
        <v>18</v>
      </c>
      <c r="E322" t="s">
        <v>62</v>
      </c>
      <c r="F322" t="s">
        <v>100</v>
      </c>
      <c r="G322" t="s">
        <v>66</v>
      </c>
      <c r="H322">
        <v>2023</v>
      </c>
      <c r="I322" s="2">
        <v>2570</v>
      </c>
    </row>
    <row r="323" spans="1:9" x14ac:dyDescent="0.2">
      <c r="A323" t="s">
        <v>98</v>
      </c>
      <c r="B323" t="s">
        <v>45</v>
      </c>
      <c r="C323" t="s">
        <v>18</v>
      </c>
      <c r="E323" t="s">
        <v>62</v>
      </c>
      <c r="F323" t="s">
        <v>100</v>
      </c>
      <c r="G323" t="s">
        <v>67</v>
      </c>
      <c r="H323">
        <v>2023</v>
      </c>
      <c r="I323" s="2">
        <v>2640</v>
      </c>
    </row>
    <row r="324" spans="1:9" x14ac:dyDescent="0.2">
      <c r="A324" t="s">
        <v>98</v>
      </c>
      <c r="B324" t="s">
        <v>45</v>
      </c>
      <c r="C324" t="s">
        <v>18</v>
      </c>
      <c r="E324" t="s">
        <v>62</v>
      </c>
      <c r="F324" t="s">
        <v>100</v>
      </c>
      <c r="G324" t="s">
        <v>63</v>
      </c>
      <c r="H324">
        <v>2022</v>
      </c>
      <c r="I324" s="2">
        <v>60</v>
      </c>
    </row>
    <row r="325" spans="1:9" x14ac:dyDescent="0.2">
      <c r="A325" t="s">
        <v>98</v>
      </c>
      <c r="B325" t="s">
        <v>45</v>
      </c>
      <c r="C325" t="s">
        <v>18</v>
      </c>
      <c r="E325" t="s">
        <v>62</v>
      </c>
      <c r="F325" t="s">
        <v>100</v>
      </c>
      <c r="G325" t="s">
        <v>65</v>
      </c>
      <c r="H325">
        <v>2022</v>
      </c>
      <c r="I325" s="2">
        <v>33790</v>
      </c>
    </row>
    <row r="326" spans="1:9" x14ac:dyDescent="0.2">
      <c r="A326" t="s">
        <v>98</v>
      </c>
      <c r="B326" t="s">
        <v>45</v>
      </c>
      <c r="C326" t="s">
        <v>18</v>
      </c>
      <c r="E326" t="s">
        <v>62</v>
      </c>
      <c r="F326" t="s">
        <v>100</v>
      </c>
      <c r="G326" t="s">
        <v>68</v>
      </c>
      <c r="H326">
        <v>2022</v>
      </c>
      <c r="I326" s="2">
        <v>60</v>
      </c>
    </row>
    <row r="327" spans="1:9" x14ac:dyDescent="0.2">
      <c r="A327" t="s">
        <v>98</v>
      </c>
      <c r="B327" t="s">
        <v>45</v>
      </c>
      <c r="C327" t="s">
        <v>18</v>
      </c>
      <c r="E327" t="s">
        <v>62</v>
      </c>
      <c r="F327" t="s">
        <v>100</v>
      </c>
      <c r="G327" t="s">
        <v>69</v>
      </c>
      <c r="H327">
        <v>2022</v>
      </c>
      <c r="I327" s="2">
        <v>0</v>
      </c>
    </row>
    <row r="328" spans="1:9" x14ac:dyDescent="0.2">
      <c r="A328" t="s">
        <v>98</v>
      </c>
      <c r="B328" t="s">
        <v>45</v>
      </c>
      <c r="C328" t="s">
        <v>18</v>
      </c>
      <c r="E328" t="s">
        <v>62</v>
      </c>
      <c r="F328" t="s">
        <v>100</v>
      </c>
      <c r="G328" t="s">
        <v>66</v>
      </c>
      <c r="H328">
        <v>2022</v>
      </c>
      <c r="I328" s="2">
        <v>2940</v>
      </c>
    </row>
    <row r="329" spans="1:9" x14ac:dyDescent="0.2">
      <c r="A329" t="s">
        <v>98</v>
      </c>
      <c r="B329" t="s">
        <v>45</v>
      </c>
      <c r="C329" t="s">
        <v>18</v>
      </c>
      <c r="E329" t="s">
        <v>62</v>
      </c>
      <c r="F329" t="s">
        <v>100</v>
      </c>
      <c r="G329" t="s">
        <v>67</v>
      </c>
      <c r="H329">
        <v>2022</v>
      </c>
      <c r="I329" s="2">
        <v>3200</v>
      </c>
    </row>
    <row r="330" spans="1:9" x14ac:dyDescent="0.2">
      <c r="A330" t="s">
        <v>98</v>
      </c>
      <c r="B330" t="s">
        <v>45</v>
      </c>
      <c r="C330" t="s">
        <v>18</v>
      </c>
      <c r="E330" t="s">
        <v>62</v>
      </c>
      <c r="F330" t="s">
        <v>101</v>
      </c>
      <c r="G330" t="s">
        <v>70</v>
      </c>
      <c r="H330">
        <v>2024</v>
      </c>
      <c r="I330" s="2">
        <v>120</v>
      </c>
    </row>
    <row r="331" spans="1:9" x14ac:dyDescent="0.2">
      <c r="A331" t="s">
        <v>98</v>
      </c>
      <c r="B331" t="s">
        <v>45</v>
      </c>
      <c r="C331" t="s">
        <v>18</v>
      </c>
      <c r="E331" t="s">
        <v>62</v>
      </c>
      <c r="F331" t="s">
        <v>101</v>
      </c>
      <c r="G331" t="s">
        <v>71</v>
      </c>
      <c r="H331">
        <v>2024</v>
      </c>
      <c r="I331" s="2">
        <v>20</v>
      </c>
    </row>
    <row r="332" spans="1:9" x14ac:dyDescent="0.2">
      <c r="A332" t="s">
        <v>98</v>
      </c>
      <c r="B332" t="s">
        <v>45</v>
      </c>
      <c r="C332" t="s">
        <v>18</v>
      </c>
      <c r="E332" t="s">
        <v>62</v>
      </c>
      <c r="F332" t="s">
        <v>101</v>
      </c>
      <c r="G332" t="s">
        <v>72</v>
      </c>
      <c r="H332">
        <v>2024</v>
      </c>
      <c r="I332" s="2">
        <v>2160</v>
      </c>
    </row>
    <row r="333" spans="1:9" x14ac:dyDescent="0.2">
      <c r="A333" t="s">
        <v>98</v>
      </c>
      <c r="B333" t="s">
        <v>45</v>
      </c>
      <c r="C333" t="s">
        <v>18</v>
      </c>
      <c r="E333" t="s">
        <v>62</v>
      </c>
      <c r="F333" t="s">
        <v>101</v>
      </c>
      <c r="G333" t="s">
        <v>73</v>
      </c>
      <c r="H333">
        <v>2024</v>
      </c>
      <c r="I333" s="2">
        <v>70</v>
      </c>
    </row>
    <row r="334" spans="1:9" x14ac:dyDescent="0.2">
      <c r="A334" t="s">
        <v>98</v>
      </c>
      <c r="B334" t="s">
        <v>45</v>
      </c>
      <c r="C334" t="s">
        <v>18</v>
      </c>
      <c r="E334" t="s">
        <v>62</v>
      </c>
      <c r="F334" t="s">
        <v>101</v>
      </c>
      <c r="G334" t="s">
        <v>70</v>
      </c>
      <c r="H334">
        <v>2023</v>
      </c>
      <c r="I334" s="2">
        <v>160</v>
      </c>
    </row>
    <row r="335" spans="1:9" x14ac:dyDescent="0.2">
      <c r="A335" t="s">
        <v>98</v>
      </c>
      <c r="B335" t="s">
        <v>45</v>
      </c>
      <c r="C335" t="s">
        <v>18</v>
      </c>
      <c r="E335" t="s">
        <v>62</v>
      </c>
      <c r="F335" t="s">
        <v>101</v>
      </c>
      <c r="G335" t="s">
        <v>71</v>
      </c>
      <c r="H335">
        <v>2023</v>
      </c>
      <c r="I335" s="2">
        <v>40</v>
      </c>
    </row>
    <row r="336" spans="1:9" x14ac:dyDescent="0.2">
      <c r="A336" t="s">
        <v>98</v>
      </c>
      <c r="B336" t="s">
        <v>45</v>
      </c>
      <c r="C336" t="s">
        <v>18</v>
      </c>
      <c r="E336" t="s">
        <v>62</v>
      </c>
      <c r="F336" t="s">
        <v>101</v>
      </c>
      <c r="G336" t="s">
        <v>72</v>
      </c>
      <c r="H336">
        <v>2023</v>
      </c>
      <c r="I336" s="2">
        <v>3330</v>
      </c>
    </row>
    <row r="337" spans="1:9" x14ac:dyDescent="0.2">
      <c r="A337" t="s">
        <v>98</v>
      </c>
      <c r="B337" t="s">
        <v>45</v>
      </c>
      <c r="C337" t="s">
        <v>18</v>
      </c>
      <c r="E337" t="s">
        <v>62</v>
      </c>
      <c r="F337" t="s">
        <v>101</v>
      </c>
      <c r="G337" t="s">
        <v>73</v>
      </c>
      <c r="H337">
        <v>2023</v>
      </c>
      <c r="I337" s="2">
        <v>40</v>
      </c>
    </row>
    <row r="338" spans="1:9" x14ac:dyDescent="0.2">
      <c r="A338" t="s">
        <v>98</v>
      </c>
      <c r="B338" t="s">
        <v>45</v>
      </c>
      <c r="C338" t="s">
        <v>18</v>
      </c>
      <c r="E338" t="s">
        <v>62</v>
      </c>
      <c r="F338" t="s">
        <v>101</v>
      </c>
      <c r="G338" t="s">
        <v>70</v>
      </c>
      <c r="H338">
        <v>2022</v>
      </c>
      <c r="I338" s="2">
        <v>230</v>
      </c>
    </row>
    <row r="339" spans="1:9" x14ac:dyDescent="0.2">
      <c r="A339" t="s">
        <v>98</v>
      </c>
      <c r="B339" t="s">
        <v>45</v>
      </c>
      <c r="C339" t="s">
        <v>18</v>
      </c>
      <c r="E339" t="s">
        <v>62</v>
      </c>
      <c r="F339" t="s">
        <v>101</v>
      </c>
      <c r="G339" t="s">
        <v>71</v>
      </c>
      <c r="H339">
        <v>2022</v>
      </c>
      <c r="I339" s="2">
        <v>70</v>
      </c>
    </row>
    <row r="340" spans="1:9" x14ac:dyDescent="0.2">
      <c r="A340" t="s">
        <v>98</v>
      </c>
      <c r="B340" t="s">
        <v>45</v>
      </c>
      <c r="C340" t="s">
        <v>18</v>
      </c>
      <c r="E340" t="s">
        <v>62</v>
      </c>
      <c r="F340" t="s">
        <v>101</v>
      </c>
      <c r="G340" t="s">
        <v>72</v>
      </c>
      <c r="H340">
        <v>2022</v>
      </c>
      <c r="I340" s="2">
        <v>3500</v>
      </c>
    </row>
    <row r="341" spans="1:9" x14ac:dyDescent="0.2">
      <c r="A341" t="s">
        <v>98</v>
      </c>
      <c r="B341" t="s">
        <v>45</v>
      </c>
      <c r="C341" t="s">
        <v>18</v>
      </c>
      <c r="E341" t="s">
        <v>62</v>
      </c>
      <c r="F341" t="s">
        <v>101</v>
      </c>
      <c r="G341" t="s">
        <v>73</v>
      </c>
      <c r="H341">
        <v>2022</v>
      </c>
      <c r="I341" s="2">
        <v>50</v>
      </c>
    </row>
    <row r="342" spans="1:9" x14ac:dyDescent="0.2">
      <c r="A342" t="s">
        <v>98</v>
      </c>
      <c r="B342" t="s">
        <v>45</v>
      </c>
      <c r="C342" t="s">
        <v>18</v>
      </c>
      <c r="E342" t="s">
        <v>62</v>
      </c>
      <c r="F342" t="s">
        <v>103</v>
      </c>
      <c r="G342" t="s">
        <v>74</v>
      </c>
      <c r="H342">
        <v>2024</v>
      </c>
      <c r="I342" s="2">
        <v>73020</v>
      </c>
    </row>
    <row r="343" spans="1:9" x14ac:dyDescent="0.2">
      <c r="A343" t="s">
        <v>98</v>
      </c>
      <c r="B343" t="s">
        <v>45</v>
      </c>
      <c r="C343" t="s">
        <v>18</v>
      </c>
      <c r="E343" t="s">
        <v>62</v>
      </c>
      <c r="F343" t="s">
        <v>103</v>
      </c>
      <c r="G343" t="s">
        <v>75</v>
      </c>
      <c r="H343">
        <v>2024</v>
      </c>
      <c r="I343" s="2">
        <v>2120</v>
      </c>
    </row>
    <row r="344" spans="1:9" x14ac:dyDescent="0.2">
      <c r="A344" t="s">
        <v>98</v>
      </c>
      <c r="B344" t="s">
        <v>45</v>
      </c>
      <c r="C344" t="s">
        <v>18</v>
      </c>
      <c r="E344" t="s">
        <v>62</v>
      </c>
      <c r="F344" t="s">
        <v>103</v>
      </c>
      <c r="G344" t="s">
        <v>76</v>
      </c>
      <c r="H344">
        <v>2024</v>
      </c>
      <c r="I344" s="2">
        <v>410</v>
      </c>
    </row>
    <row r="345" spans="1:9" x14ac:dyDescent="0.2">
      <c r="A345" t="s">
        <v>98</v>
      </c>
      <c r="B345" t="s">
        <v>45</v>
      </c>
      <c r="C345" t="s">
        <v>18</v>
      </c>
      <c r="E345" t="s">
        <v>62</v>
      </c>
      <c r="F345" t="s">
        <v>103</v>
      </c>
      <c r="G345" t="s">
        <v>77</v>
      </c>
      <c r="H345">
        <v>2024</v>
      </c>
      <c r="I345" s="2">
        <v>840</v>
      </c>
    </row>
    <row r="346" spans="1:9" x14ac:dyDescent="0.2">
      <c r="A346" t="s">
        <v>98</v>
      </c>
      <c r="B346" t="s">
        <v>45</v>
      </c>
      <c r="C346" t="s">
        <v>18</v>
      </c>
      <c r="E346" t="s">
        <v>62</v>
      </c>
      <c r="F346" t="s">
        <v>103</v>
      </c>
      <c r="G346" t="s">
        <v>78</v>
      </c>
      <c r="H346">
        <v>2024</v>
      </c>
      <c r="I346" s="2">
        <v>49050</v>
      </c>
    </row>
    <row r="347" spans="1:9" x14ac:dyDescent="0.2">
      <c r="A347" t="s">
        <v>98</v>
      </c>
      <c r="B347" t="s">
        <v>45</v>
      </c>
      <c r="C347" t="s">
        <v>18</v>
      </c>
      <c r="E347" t="s">
        <v>62</v>
      </c>
      <c r="F347" t="s">
        <v>103</v>
      </c>
      <c r="G347" t="s">
        <v>79</v>
      </c>
      <c r="H347">
        <v>2024</v>
      </c>
      <c r="I347" s="2">
        <v>90</v>
      </c>
    </row>
    <row r="348" spans="1:9" x14ac:dyDescent="0.2">
      <c r="A348" t="s">
        <v>98</v>
      </c>
      <c r="B348" t="s">
        <v>45</v>
      </c>
      <c r="C348" t="s">
        <v>18</v>
      </c>
      <c r="E348" t="s">
        <v>62</v>
      </c>
      <c r="F348" t="s">
        <v>103</v>
      </c>
      <c r="G348" t="s">
        <v>80</v>
      </c>
      <c r="H348">
        <v>2024</v>
      </c>
      <c r="I348" s="2">
        <v>930</v>
      </c>
    </row>
    <row r="349" spans="1:9" x14ac:dyDescent="0.2">
      <c r="A349" t="s">
        <v>98</v>
      </c>
      <c r="B349" t="s">
        <v>45</v>
      </c>
      <c r="C349" t="s">
        <v>18</v>
      </c>
      <c r="E349" t="s">
        <v>62</v>
      </c>
      <c r="F349" t="s">
        <v>103</v>
      </c>
      <c r="G349" t="s">
        <v>81</v>
      </c>
      <c r="H349">
        <v>2024</v>
      </c>
      <c r="I349" s="2">
        <v>150</v>
      </c>
    </row>
    <row r="350" spans="1:9" x14ac:dyDescent="0.2">
      <c r="A350" t="s">
        <v>98</v>
      </c>
      <c r="B350" t="s">
        <v>45</v>
      </c>
      <c r="C350" t="s">
        <v>18</v>
      </c>
      <c r="E350" t="s">
        <v>62</v>
      </c>
      <c r="F350" t="s">
        <v>103</v>
      </c>
      <c r="G350" t="s">
        <v>82</v>
      </c>
      <c r="H350">
        <v>2024</v>
      </c>
      <c r="I350" s="2">
        <v>370</v>
      </c>
    </row>
    <row r="351" spans="1:9" x14ac:dyDescent="0.2">
      <c r="A351" t="s">
        <v>98</v>
      </c>
      <c r="B351" t="s">
        <v>45</v>
      </c>
      <c r="C351" t="s">
        <v>18</v>
      </c>
      <c r="E351" t="s">
        <v>62</v>
      </c>
      <c r="F351" t="s">
        <v>103</v>
      </c>
      <c r="G351" t="s">
        <v>83</v>
      </c>
      <c r="H351">
        <v>2024</v>
      </c>
      <c r="I351" s="2">
        <v>240</v>
      </c>
    </row>
    <row r="352" spans="1:9" x14ac:dyDescent="0.2">
      <c r="A352" t="s">
        <v>98</v>
      </c>
      <c r="B352" t="s">
        <v>45</v>
      </c>
      <c r="C352" t="s">
        <v>18</v>
      </c>
      <c r="E352" t="s">
        <v>62</v>
      </c>
      <c r="F352" t="s">
        <v>103</v>
      </c>
      <c r="G352" t="s">
        <v>84</v>
      </c>
      <c r="H352">
        <v>2024</v>
      </c>
      <c r="I352" s="2">
        <v>300</v>
      </c>
    </row>
    <row r="353" spans="1:9" x14ac:dyDescent="0.2">
      <c r="A353" t="s">
        <v>98</v>
      </c>
      <c r="B353" t="s">
        <v>45</v>
      </c>
      <c r="C353" t="s">
        <v>18</v>
      </c>
      <c r="E353" t="s">
        <v>62</v>
      </c>
      <c r="F353" t="s">
        <v>103</v>
      </c>
      <c r="G353" t="s">
        <v>74</v>
      </c>
      <c r="H353">
        <v>2023</v>
      </c>
      <c r="I353" s="2">
        <v>113410</v>
      </c>
    </row>
    <row r="354" spans="1:9" x14ac:dyDescent="0.2">
      <c r="A354" t="s">
        <v>98</v>
      </c>
      <c r="B354" t="s">
        <v>45</v>
      </c>
      <c r="C354" t="s">
        <v>18</v>
      </c>
      <c r="E354" t="s">
        <v>62</v>
      </c>
      <c r="F354" t="s">
        <v>103</v>
      </c>
      <c r="G354" t="s">
        <v>75</v>
      </c>
      <c r="H354">
        <v>2023</v>
      </c>
      <c r="I354" s="2">
        <v>3830</v>
      </c>
    </row>
    <row r="355" spans="1:9" x14ac:dyDescent="0.2">
      <c r="A355" t="s">
        <v>98</v>
      </c>
      <c r="B355" t="s">
        <v>45</v>
      </c>
      <c r="C355" t="s">
        <v>18</v>
      </c>
      <c r="E355" t="s">
        <v>62</v>
      </c>
      <c r="F355" t="s">
        <v>103</v>
      </c>
      <c r="G355" t="s">
        <v>76</v>
      </c>
      <c r="H355">
        <v>2023</v>
      </c>
      <c r="I355" s="2">
        <v>620</v>
      </c>
    </row>
    <row r="356" spans="1:9" x14ac:dyDescent="0.2">
      <c r="A356" t="s">
        <v>98</v>
      </c>
      <c r="B356" t="s">
        <v>45</v>
      </c>
      <c r="C356" t="s">
        <v>18</v>
      </c>
      <c r="E356" t="s">
        <v>62</v>
      </c>
      <c r="F356" t="s">
        <v>103</v>
      </c>
      <c r="G356" t="s">
        <v>77</v>
      </c>
      <c r="H356">
        <v>2023</v>
      </c>
      <c r="I356" s="2">
        <v>790</v>
      </c>
    </row>
    <row r="357" spans="1:9" x14ac:dyDescent="0.2">
      <c r="A357" t="s">
        <v>98</v>
      </c>
      <c r="B357" t="s">
        <v>45</v>
      </c>
      <c r="C357" t="s">
        <v>18</v>
      </c>
      <c r="E357" t="s">
        <v>62</v>
      </c>
      <c r="F357" t="s">
        <v>103</v>
      </c>
      <c r="G357" t="s">
        <v>78</v>
      </c>
      <c r="H357">
        <v>2023</v>
      </c>
      <c r="I357" s="2">
        <v>9320</v>
      </c>
    </row>
    <row r="358" spans="1:9" x14ac:dyDescent="0.2">
      <c r="A358" t="s">
        <v>98</v>
      </c>
      <c r="B358" t="s">
        <v>45</v>
      </c>
      <c r="C358" t="s">
        <v>18</v>
      </c>
      <c r="E358" t="s">
        <v>62</v>
      </c>
      <c r="F358" t="s">
        <v>103</v>
      </c>
      <c r="G358" t="s">
        <v>79</v>
      </c>
      <c r="H358">
        <v>2023</v>
      </c>
      <c r="I358" s="2">
        <v>100</v>
      </c>
    </row>
    <row r="359" spans="1:9" x14ac:dyDescent="0.2">
      <c r="A359" t="s">
        <v>98</v>
      </c>
      <c r="B359" t="s">
        <v>45</v>
      </c>
      <c r="C359" t="s">
        <v>18</v>
      </c>
      <c r="E359" t="s">
        <v>62</v>
      </c>
      <c r="F359" t="s">
        <v>103</v>
      </c>
      <c r="G359" t="s">
        <v>80</v>
      </c>
      <c r="H359">
        <v>2023</v>
      </c>
      <c r="I359" s="2">
        <v>980</v>
      </c>
    </row>
    <row r="360" spans="1:9" x14ac:dyDescent="0.2">
      <c r="A360" t="s">
        <v>98</v>
      </c>
      <c r="B360" t="s">
        <v>45</v>
      </c>
      <c r="C360" t="s">
        <v>18</v>
      </c>
      <c r="E360" t="s">
        <v>62</v>
      </c>
      <c r="F360" t="s">
        <v>103</v>
      </c>
      <c r="G360" t="s">
        <v>81</v>
      </c>
      <c r="H360">
        <v>2023</v>
      </c>
      <c r="I360" s="2">
        <v>130</v>
      </c>
    </row>
    <row r="361" spans="1:9" x14ac:dyDescent="0.2">
      <c r="A361" t="s">
        <v>98</v>
      </c>
      <c r="B361" t="s">
        <v>45</v>
      </c>
      <c r="C361" t="s">
        <v>18</v>
      </c>
      <c r="E361" t="s">
        <v>62</v>
      </c>
      <c r="F361" t="s">
        <v>103</v>
      </c>
      <c r="G361" t="s">
        <v>82</v>
      </c>
      <c r="H361">
        <v>2023</v>
      </c>
      <c r="I361" s="2">
        <v>400</v>
      </c>
    </row>
    <row r="362" spans="1:9" x14ac:dyDescent="0.2">
      <c r="A362" t="s">
        <v>98</v>
      </c>
      <c r="B362" t="s">
        <v>45</v>
      </c>
      <c r="C362" t="s">
        <v>18</v>
      </c>
      <c r="E362" t="s">
        <v>62</v>
      </c>
      <c r="F362" t="s">
        <v>103</v>
      </c>
      <c r="G362" t="s">
        <v>83</v>
      </c>
      <c r="H362">
        <v>2023</v>
      </c>
      <c r="I362" s="2">
        <v>250</v>
      </c>
    </row>
    <row r="363" spans="1:9" x14ac:dyDescent="0.2">
      <c r="A363" t="s">
        <v>98</v>
      </c>
      <c r="B363" t="s">
        <v>45</v>
      </c>
      <c r="C363" t="s">
        <v>18</v>
      </c>
      <c r="E363" t="s">
        <v>62</v>
      </c>
      <c r="F363" t="s">
        <v>103</v>
      </c>
      <c r="G363" t="s">
        <v>84</v>
      </c>
      <c r="H363">
        <v>2023</v>
      </c>
      <c r="I363" s="2">
        <v>300</v>
      </c>
    </row>
    <row r="364" spans="1:9" x14ac:dyDescent="0.2">
      <c r="A364" t="s">
        <v>98</v>
      </c>
      <c r="B364" t="s">
        <v>45</v>
      </c>
      <c r="C364" t="s">
        <v>18</v>
      </c>
      <c r="E364" t="s">
        <v>62</v>
      </c>
      <c r="F364" t="s">
        <v>103</v>
      </c>
      <c r="G364" t="s">
        <v>74</v>
      </c>
      <c r="H364">
        <v>2022</v>
      </c>
      <c r="I364" s="2">
        <v>102770</v>
      </c>
    </row>
    <row r="365" spans="1:9" x14ac:dyDescent="0.2">
      <c r="A365" t="s">
        <v>98</v>
      </c>
      <c r="B365" t="s">
        <v>45</v>
      </c>
      <c r="C365" t="s">
        <v>18</v>
      </c>
      <c r="E365" t="s">
        <v>62</v>
      </c>
      <c r="F365" t="s">
        <v>103</v>
      </c>
      <c r="G365" t="s">
        <v>75</v>
      </c>
      <c r="H365">
        <v>2022</v>
      </c>
      <c r="I365" s="2">
        <v>4810</v>
      </c>
    </row>
    <row r="366" spans="1:9" x14ac:dyDescent="0.2">
      <c r="A366" t="s">
        <v>98</v>
      </c>
      <c r="B366" t="s">
        <v>45</v>
      </c>
      <c r="C366" t="s">
        <v>18</v>
      </c>
      <c r="E366" t="s">
        <v>62</v>
      </c>
      <c r="F366" t="s">
        <v>103</v>
      </c>
      <c r="G366" t="s">
        <v>76</v>
      </c>
      <c r="H366">
        <v>2022</v>
      </c>
      <c r="I366" s="2">
        <v>730</v>
      </c>
    </row>
    <row r="367" spans="1:9" x14ac:dyDescent="0.2">
      <c r="A367" t="s">
        <v>98</v>
      </c>
      <c r="B367" t="s">
        <v>45</v>
      </c>
      <c r="C367" t="s">
        <v>18</v>
      </c>
      <c r="E367" t="s">
        <v>62</v>
      </c>
      <c r="F367" t="s">
        <v>103</v>
      </c>
      <c r="G367" t="s">
        <v>77</v>
      </c>
      <c r="H367">
        <v>2022</v>
      </c>
      <c r="I367" s="2">
        <v>800</v>
      </c>
    </row>
    <row r="368" spans="1:9" x14ac:dyDescent="0.2">
      <c r="A368" t="s">
        <v>98</v>
      </c>
      <c r="B368" t="s">
        <v>45</v>
      </c>
      <c r="C368" t="s">
        <v>18</v>
      </c>
      <c r="E368" t="s">
        <v>62</v>
      </c>
      <c r="F368" t="s">
        <v>103</v>
      </c>
      <c r="G368" t="s">
        <v>79</v>
      </c>
      <c r="H368">
        <v>2022</v>
      </c>
      <c r="I368" s="2">
        <v>110</v>
      </c>
    </row>
    <row r="369" spans="1:9" x14ac:dyDescent="0.2">
      <c r="A369" t="s">
        <v>98</v>
      </c>
      <c r="B369" t="s">
        <v>45</v>
      </c>
      <c r="C369" t="s">
        <v>18</v>
      </c>
      <c r="E369" t="s">
        <v>62</v>
      </c>
      <c r="F369" t="s">
        <v>103</v>
      </c>
      <c r="G369" t="s">
        <v>80</v>
      </c>
      <c r="H369">
        <v>2022</v>
      </c>
      <c r="I369" s="2">
        <v>1220</v>
      </c>
    </row>
    <row r="370" spans="1:9" x14ac:dyDescent="0.2">
      <c r="A370" t="s">
        <v>98</v>
      </c>
      <c r="B370" t="s">
        <v>45</v>
      </c>
      <c r="C370" t="s">
        <v>18</v>
      </c>
      <c r="E370" t="s">
        <v>62</v>
      </c>
      <c r="F370" t="s">
        <v>103</v>
      </c>
      <c r="G370" t="s">
        <v>81</v>
      </c>
      <c r="H370">
        <v>2022</v>
      </c>
      <c r="I370" s="2">
        <v>160</v>
      </c>
    </row>
    <row r="371" spans="1:9" x14ac:dyDescent="0.2">
      <c r="A371" t="s">
        <v>98</v>
      </c>
      <c r="B371" t="s">
        <v>45</v>
      </c>
      <c r="C371" t="s">
        <v>18</v>
      </c>
      <c r="E371" t="s">
        <v>62</v>
      </c>
      <c r="F371" t="s">
        <v>103</v>
      </c>
      <c r="G371" t="s">
        <v>82</v>
      </c>
      <c r="H371">
        <v>2022</v>
      </c>
      <c r="I371" s="2">
        <v>420</v>
      </c>
    </row>
    <row r="372" spans="1:9" x14ac:dyDescent="0.2">
      <c r="A372" t="s">
        <v>98</v>
      </c>
      <c r="B372" t="s">
        <v>45</v>
      </c>
      <c r="C372" t="s">
        <v>18</v>
      </c>
      <c r="E372" t="s">
        <v>62</v>
      </c>
      <c r="F372" t="s">
        <v>103</v>
      </c>
      <c r="G372" t="s">
        <v>83</v>
      </c>
      <c r="H372">
        <v>2022</v>
      </c>
      <c r="I372" s="2">
        <v>200</v>
      </c>
    </row>
    <row r="373" spans="1:9" x14ac:dyDescent="0.2">
      <c r="A373" t="s">
        <v>98</v>
      </c>
      <c r="B373" t="s">
        <v>45</v>
      </c>
      <c r="C373" t="s">
        <v>18</v>
      </c>
      <c r="E373" t="s">
        <v>62</v>
      </c>
      <c r="F373" t="s">
        <v>103</v>
      </c>
      <c r="G373" t="s">
        <v>84</v>
      </c>
      <c r="H373">
        <v>2022</v>
      </c>
      <c r="I373" s="2">
        <v>310</v>
      </c>
    </row>
    <row r="374" spans="1:9" x14ac:dyDescent="0.2">
      <c r="A374" t="s">
        <v>98</v>
      </c>
      <c r="B374" t="s">
        <v>45</v>
      </c>
      <c r="C374" t="s">
        <v>18</v>
      </c>
      <c r="E374" t="s">
        <v>62</v>
      </c>
      <c r="F374" t="s">
        <v>102</v>
      </c>
      <c r="G374" t="s">
        <v>85</v>
      </c>
      <c r="H374">
        <v>2024</v>
      </c>
      <c r="I374" s="2">
        <v>210</v>
      </c>
    </row>
    <row r="375" spans="1:9" x14ac:dyDescent="0.2">
      <c r="A375" t="s">
        <v>98</v>
      </c>
      <c r="B375" t="s">
        <v>45</v>
      </c>
      <c r="C375" t="s">
        <v>18</v>
      </c>
      <c r="E375" t="s">
        <v>62</v>
      </c>
      <c r="F375" t="s">
        <v>102</v>
      </c>
      <c r="G375" t="s">
        <v>85</v>
      </c>
      <c r="H375">
        <v>2023</v>
      </c>
      <c r="I375" s="2">
        <v>560</v>
      </c>
    </row>
    <row r="376" spans="1:9" x14ac:dyDescent="0.2">
      <c r="A376" t="s">
        <v>98</v>
      </c>
      <c r="B376" t="s">
        <v>45</v>
      </c>
      <c r="C376" t="s">
        <v>18</v>
      </c>
      <c r="E376" t="s">
        <v>62</v>
      </c>
      <c r="F376" t="s">
        <v>102</v>
      </c>
      <c r="G376" t="s">
        <v>85</v>
      </c>
      <c r="H376">
        <v>2022</v>
      </c>
      <c r="I376" s="2">
        <v>530</v>
      </c>
    </row>
    <row r="377" spans="1:9" x14ac:dyDescent="0.2">
      <c r="A377" t="s">
        <v>98</v>
      </c>
      <c r="B377" t="s">
        <v>86</v>
      </c>
      <c r="C377" t="s">
        <v>87</v>
      </c>
      <c r="D377" t="s">
        <v>86</v>
      </c>
      <c r="F377" t="s">
        <v>100</v>
      </c>
      <c r="G377" t="s">
        <v>88</v>
      </c>
      <c r="H377">
        <v>2024</v>
      </c>
      <c r="I377" s="2">
        <v>34390</v>
      </c>
    </row>
    <row r="378" spans="1:9" x14ac:dyDescent="0.2">
      <c r="A378" t="s">
        <v>98</v>
      </c>
      <c r="B378" t="s">
        <v>86</v>
      </c>
      <c r="C378" t="s">
        <v>87</v>
      </c>
      <c r="D378" t="s">
        <v>86</v>
      </c>
      <c r="F378" t="s">
        <v>100</v>
      </c>
      <c r="G378" t="s">
        <v>88</v>
      </c>
      <c r="H378">
        <v>2023</v>
      </c>
      <c r="I378" s="2">
        <v>25950</v>
      </c>
    </row>
    <row r="379" spans="1:9" x14ac:dyDescent="0.2">
      <c r="A379" t="s">
        <v>98</v>
      </c>
      <c r="B379" t="s">
        <v>86</v>
      </c>
      <c r="C379" t="s">
        <v>87</v>
      </c>
      <c r="D379" t="s">
        <v>86</v>
      </c>
      <c r="F379" t="s">
        <v>100</v>
      </c>
      <c r="G379" t="s">
        <v>88</v>
      </c>
      <c r="H379">
        <v>2022</v>
      </c>
      <c r="I379" s="2">
        <v>23410</v>
      </c>
    </row>
    <row r="380" spans="1:9" x14ac:dyDescent="0.2">
      <c r="A380" t="s">
        <v>98</v>
      </c>
      <c r="B380" t="s">
        <v>86</v>
      </c>
      <c r="C380" t="s">
        <v>87</v>
      </c>
      <c r="D380" t="s">
        <v>86</v>
      </c>
      <c r="F380" t="s">
        <v>101</v>
      </c>
      <c r="G380" t="s">
        <v>89</v>
      </c>
      <c r="H380">
        <v>2024</v>
      </c>
      <c r="I380" s="2">
        <v>750</v>
      </c>
    </row>
    <row r="381" spans="1:9" x14ac:dyDescent="0.2">
      <c r="A381" t="s">
        <v>98</v>
      </c>
      <c r="B381" t="s">
        <v>86</v>
      </c>
      <c r="C381" t="s">
        <v>87</v>
      </c>
      <c r="D381" t="s">
        <v>86</v>
      </c>
      <c r="F381" t="s">
        <v>101</v>
      </c>
      <c r="G381" t="s">
        <v>89</v>
      </c>
      <c r="H381">
        <v>2023</v>
      </c>
      <c r="I381" s="2">
        <v>750</v>
      </c>
    </row>
    <row r="382" spans="1:9" x14ac:dyDescent="0.2">
      <c r="A382" t="s">
        <v>98</v>
      </c>
      <c r="B382" t="s">
        <v>86</v>
      </c>
      <c r="C382" t="s">
        <v>87</v>
      </c>
      <c r="D382" t="s">
        <v>86</v>
      </c>
      <c r="F382" t="s">
        <v>101</v>
      </c>
      <c r="G382" t="s">
        <v>89</v>
      </c>
      <c r="H382">
        <v>2022</v>
      </c>
      <c r="I382" s="2">
        <v>920</v>
      </c>
    </row>
    <row r="383" spans="1:9" x14ac:dyDescent="0.2">
      <c r="A383" t="s">
        <v>98</v>
      </c>
      <c r="B383" t="s">
        <v>86</v>
      </c>
      <c r="C383" t="s">
        <v>87</v>
      </c>
      <c r="D383" t="s">
        <v>86</v>
      </c>
      <c r="F383" t="s">
        <v>103</v>
      </c>
      <c r="G383" t="s">
        <v>90</v>
      </c>
      <c r="H383">
        <v>2024</v>
      </c>
      <c r="I383" s="2">
        <v>13840</v>
      </c>
    </row>
    <row r="384" spans="1:9" x14ac:dyDescent="0.2">
      <c r="A384" t="s">
        <v>98</v>
      </c>
      <c r="B384" t="s">
        <v>86</v>
      </c>
      <c r="C384" t="s">
        <v>87</v>
      </c>
      <c r="D384" t="s">
        <v>86</v>
      </c>
      <c r="F384" t="s">
        <v>103</v>
      </c>
      <c r="G384" t="s">
        <v>91</v>
      </c>
      <c r="H384">
        <v>2024</v>
      </c>
      <c r="I384" s="2">
        <v>40</v>
      </c>
    </row>
    <row r="385" spans="1:9" x14ac:dyDescent="0.2">
      <c r="A385" t="s">
        <v>98</v>
      </c>
      <c r="B385" t="s">
        <v>86</v>
      </c>
      <c r="C385" t="s">
        <v>87</v>
      </c>
      <c r="D385" t="s">
        <v>86</v>
      </c>
      <c r="F385" t="s">
        <v>103</v>
      </c>
      <c r="G385" t="s">
        <v>92</v>
      </c>
      <c r="H385">
        <v>2024</v>
      </c>
      <c r="I385" s="2">
        <v>60940</v>
      </c>
    </row>
    <row r="386" spans="1:9" x14ac:dyDescent="0.2">
      <c r="A386" t="s">
        <v>98</v>
      </c>
      <c r="B386" t="s">
        <v>86</v>
      </c>
      <c r="C386" t="s">
        <v>87</v>
      </c>
      <c r="D386" t="s">
        <v>86</v>
      </c>
      <c r="F386" t="s">
        <v>103</v>
      </c>
      <c r="G386" t="s">
        <v>93</v>
      </c>
      <c r="H386">
        <v>2024</v>
      </c>
      <c r="I386" s="2">
        <v>20670</v>
      </c>
    </row>
    <row r="387" spans="1:9" x14ac:dyDescent="0.2">
      <c r="A387" t="s">
        <v>98</v>
      </c>
      <c r="B387" t="s">
        <v>86</v>
      </c>
      <c r="C387" t="s">
        <v>87</v>
      </c>
      <c r="D387" t="s">
        <v>86</v>
      </c>
      <c r="F387" t="s">
        <v>103</v>
      </c>
      <c r="G387" t="s">
        <v>90</v>
      </c>
      <c r="H387">
        <v>2023</v>
      </c>
      <c r="I387" s="2">
        <v>10510</v>
      </c>
    </row>
    <row r="388" spans="1:9" x14ac:dyDescent="0.2">
      <c r="A388" t="s">
        <v>98</v>
      </c>
      <c r="B388" t="s">
        <v>86</v>
      </c>
      <c r="C388" t="s">
        <v>87</v>
      </c>
      <c r="D388" t="s">
        <v>86</v>
      </c>
      <c r="F388" t="s">
        <v>103</v>
      </c>
      <c r="G388" t="s">
        <v>92</v>
      </c>
      <c r="H388">
        <v>2023</v>
      </c>
      <c r="I388" s="2">
        <v>51280</v>
      </c>
    </row>
    <row r="389" spans="1:9" x14ac:dyDescent="0.2">
      <c r="A389" t="s">
        <v>98</v>
      </c>
      <c r="B389" t="s">
        <v>86</v>
      </c>
      <c r="C389" t="s">
        <v>87</v>
      </c>
      <c r="D389" t="s">
        <v>86</v>
      </c>
      <c r="F389" t="s">
        <v>103</v>
      </c>
      <c r="G389" t="s">
        <v>93</v>
      </c>
      <c r="H389">
        <v>2023</v>
      </c>
      <c r="I389" s="2">
        <v>18740</v>
      </c>
    </row>
    <row r="390" spans="1:9" x14ac:dyDescent="0.2">
      <c r="A390" t="s">
        <v>98</v>
      </c>
      <c r="B390" t="s">
        <v>86</v>
      </c>
      <c r="C390" t="s">
        <v>87</v>
      </c>
      <c r="D390" t="s">
        <v>86</v>
      </c>
      <c r="F390" t="s">
        <v>103</v>
      </c>
      <c r="G390" t="s">
        <v>90</v>
      </c>
      <c r="H390">
        <v>2022</v>
      </c>
      <c r="I390" s="2">
        <v>9020</v>
      </c>
    </row>
    <row r="391" spans="1:9" x14ac:dyDescent="0.2">
      <c r="A391" t="s">
        <v>98</v>
      </c>
      <c r="B391" t="s">
        <v>86</v>
      </c>
      <c r="C391" t="s">
        <v>87</v>
      </c>
      <c r="D391" t="s">
        <v>86</v>
      </c>
      <c r="F391" t="s">
        <v>103</v>
      </c>
      <c r="G391" t="s">
        <v>92</v>
      </c>
      <c r="H391">
        <v>2022</v>
      </c>
      <c r="I391" s="2">
        <v>53390</v>
      </c>
    </row>
    <row r="392" spans="1:9" x14ac:dyDescent="0.2">
      <c r="A392" t="s">
        <v>98</v>
      </c>
      <c r="B392" t="s">
        <v>86</v>
      </c>
      <c r="C392" t="s">
        <v>87</v>
      </c>
      <c r="D392" t="s">
        <v>86</v>
      </c>
      <c r="F392" t="s">
        <v>103</v>
      </c>
      <c r="G392" t="s">
        <v>93</v>
      </c>
      <c r="H392">
        <v>2022</v>
      </c>
      <c r="I392" s="2">
        <v>18270</v>
      </c>
    </row>
    <row r="393" spans="1:9" x14ac:dyDescent="0.2">
      <c r="A393" t="s">
        <v>98</v>
      </c>
      <c r="B393" t="s">
        <v>86</v>
      </c>
      <c r="C393" t="s">
        <v>94</v>
      </c>
      <c r="D393" t="s">
        <v>86</v>
      </c>
      <c r="F393" t="s">
        <v>103</v>
      </c>
      <c r="G393" t="s">
        <v>95</v>
      </c>
      <c r="H393">
        <v>2024</v>
      </c>
      <c r="I393" s="2">
        <v>3600</v>
      </c>
    </row>
    <row r="394" spans="1:9" x14ac:dyDescent="0.2">
      <c r="A394" t="s">
        <v>98</v>
      </c>
      <c r="B394" t="s">
        <v>86</v>
      </c>
      <c r="C394" t="s">
        <v>94</v>
      </c>
      <c r="D394" t="s">
        <v>86</v>
      </c>
      <c r="F394" t="s">
        <v>103</v>
      </c>
      <c r="G394" t="s">
        <v>96</v>
      </c>
      <c r="H394">
        <v>2024</v>
      </c>
      <c r="I394" s="2">
        <v>0</v>
      </c>
    </row>
    <row r="395" spans="1:9" x14ac:dyDescent="0.2">
      <c r="A395" t="s">
        <v>98</v>
      </c>
      <c r="B395" t="s">
        <v>86</v>
      </c>
      <c r="C395" t="s">
        <v>94</v>
      </c>
      <c r="D395" t="s">
        <v>86</v>
      </c>
      <c r="F395" t="s">
        <v>103</v>
      </c>
      <c r="G395" t="s">
        <v>95</v>
      </c>
      <c r="H395">
        <v>2023</v>
      </c>
      <c r="I395" s="2">
        <v>710</v>
      </c>
    </row>
    <row r="396" spans="1:9" x14ac:dyDescent="0.2">
      <c r="A396" t="s">
        <v>98</v>
      </c>
      <c r="B396" t="s">
        <v>86</v>
      </c>
      <c r="C396" t="s">
        <v>94</v>
      </c>
      <c r="D396" t="s">
        <v>86</v>
      </c>
      <c r="F396" t="s">
        <v>103</v>
      </c>
      <c r="G396" t="s">
        <v>96</v>
      </c>
      <c r="H396">
        <v>2023</v>
      </c>
      <c r="I396" s="2">
        <v>90</v>
      </c>
    </row>
    <row r="397" spans="1:9" x14ac:dyDescent="0.2">
      <c r="A397" t="s">
        <v>98</v>
      </c>
      <c r="B397" t="s">
        <v>86</v>
      </c>
      <c r="C397" t="s">
        <v>94</v>
      </c>
      <c r="D397" t="s">
        <v>86</v>
      </c>
      <c r="F397" t="s">
        <v>103</v>
      </c>
      <c r="G397" t="s">
        <v>95</v>
      </c>
      <c r="H397">
        <v>2022</v>
      </c>
      <c r="I397" s="2">
        <v>420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FBCB-C750-484F-A6ED-DC72AD00731D}">
  <dimension ref="A1"/>
  <sheetViews>
    <sheetView tabSelected="1" workbookViewId="0">
      <selection activeCell="Z24" sqref="Z24"/>
    </sheetView>
  </sheetViews>
  <sheetFormatPr baseColWidth="10" defaultRowHeight="15" x14ac:dyDescent="0.2"/>
  <cols>
    <col min="1" max="16384" width="10.83203125" style="23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5C0C-4D6B-4445-BB9D-AC1A2E77625B}">
  <dimension ref="A1:N8"/>
  <sheetViews>
    <sheetView workbookViewId="0">
      <selection activeCell="J40" sqref="J40"/>
    </sheetView>
  </sheetViews>
  <sheetFormatPr baseColWidth="10" defaultRowHeight="15" x14ac:dyDescent="0.2"/>
  <cols>
    <col min="1" max="1" width="19.1640625" bestFit="1" customWidth="1"/>
    <col min="2" max="2" width="15.1640625" bestFit="1" customWidth="1"/>
    <col min="3" max="4" width="12.6640625" bestFit="1" customWidth="1"/>
    <col min="5" max="5" width="11.1640625" bestFit="1" customWidth="1"/>
    <col min="6" max="6" width="12.6640625" bestFit="1" customWidth="1"/>
    <col min="9" max="9" width="19.1640625" bestFit="1" customWidth="1"/>
    <col min="10" max="10" width="15.1640625" bestFit="1" customWidth="1"/>
    <col min="11" max="11" width="11.5" customWidth="1"/>
    <col min="12" max="12" width="12.1640625" customWidth="1"/>
    <col min="13" max="13" width="11.83203125" customWidth="1"/>
    <col min="14" max="14" width="11.33203125" customWidth="1"/>
  </cols>
  <sheetData>
    <row r="1" spans="1:14" x14ac:dyDescent="0.2">
      <c r="A1" s="5" t="s">
        <v>0</v>
      </c>
      <c r="B1" t="s">
        <v>97</v>
      </c>
      <c r="I1" s="5" t="s">
        <v>0</v>
      </c>
      <c r="J1" t="s">
        <v>98</v>
      </c>
    </row>
    <row r="3" spans="1:14" x14ac:dyDescent="0.2">
      <c r="A3" s="5" t="s">
        <v>117</v>
      </c>
      <c r="B3" s="5" t="s">
        <v>130</v>
      </c>
      <c r="I3" s="5" t="s">
        <v>117</v>
      </c>
      <c r="J3" s="5" t="s">
        <v>130</v>
      </c>
    </row>
    <row r="4" spans="1:14" x14ac:dyDescent="0.2">
      <c r="A4" s="5" t="s">
        <v>131</v>
      </c>
      <c r="B4" t="s">
        <v>8</v>
      </c>
      <c r="C4" t="s">
        <v>17</v>
      </c>
      <c r="D4" t="s">
        <v>45</v>
      </c>
      <c r="E4" t="s">
        <v>86</v>
      </c>
      <c r="F4" t="s">
        <v>142</v>
      </c>
      <c r="I4" s="5" t="s">
        <v>131</v>
      </c>
      <c r="J4" t="s">
        <v>8</v>
      </c>
      <c r="K4" t="s">
        <v>17</v>
      </c>
      <c r="L4" t="s">
        <v>45</v>
      </c>
      <c r="M4" t="s">
        <v>86</v>
      </c>
      <c r="N4" t="s">
        <v>142</v>
      </c>
    </row>
    <row r="5" spans="1:14" x14ac:dyDescent="0.2">
      <c r="A5" s="14">
        <v>2022</v>
      </c>
      <c r="B5" s="11">
        <v>124249630</v>
      </c>
      <c r="C5" s="11">
        <v>275292580</v>
      </c>
      <c r="D5" s="11">
        <v>607917820</v>
      </c>
      <c r="E5" s="11">
        <v>258605180</v>
      </c>
      <c r="F5" s="11">
        <v>1266065210</v>
      </c>
      <c r="I5" s="14">
        <v>2022</v>
      </c>
      <c r="J5" s="2">
        <v>188200</v>
      </c>
      <c r="K5" s="2">
        <v>170170</v>
      </c>
      <c r="L5" s="2">
        <v>187010</v>
      </c>
      <c r="M5" s="2">
        <v>105430</v>
      </c>
      <c r="N5" s="2">
        <v>650810</v>
      </c>
    </row>
    <row r="6" spans="1:14" x14ac:dyDescent="0.2">
      <c r="A6" s="14">
        <v>2023</v>
      </c>
      <c r="B6" s="11">
        <v>142362810</v>
      </c>
      <c r="C6" s="11">
        <v>352157620</v>
      </c>
      <c r="D6" s="11">
        <v>719228460</v>
      </c>
      <c r="E6" s="11">
        <v>270254320</v>
      </c>
      <c r="F6" s="11">
        <v>1484003210</v>
      </c>
      <c r="I6" s="14">
        <v>2023</v>
      </c>
      <c r="J6" s="2">
        <v>208290</v>
      </c>
      <c r="K6" s="2">
        <v>200860</v>
      </c>
      <c r="L6" s="2">
        <v>213570</v>
      </c>
      <c r="M6" s="2">
        <v>108030</v>
      </c>
      <c r="N6" s="2">
        <v>730750</v>
      </c>
    </row>
    <row r="7" spans="1:14" x14ac:dyDescent="0.2">
      <c r="A7" s="14">
        <v>2024</v>
      </c>
      <c r="B7" s="11">
        <v>170566630</v>
      </c>
      <c r="C7" s="11">
        <v>414972100</v>
      </c>
      <c r="D7" s="11">
        <v>1164477720</v>
      </c>
      <c r="E7" s="11">
        <v>335486900</v>
      </c>
      <c r="F7" s="11">
        <v>2085503350</v>
      </c>
      <c r="I7" s="14">
        <v>2024</v>
      </c>
      <c r="J7" s="2">
        <v>238880</v>
      </c>
      <c r="K7" s="2">
        <v>222340</v>
      </c>
      <c r="L7" s="2">
        <v>253970</v>
      </c>
      <c r="M7" s="2">
        <v>134230</v>
      </c>
      <c r="N7" s="2">
        <v>849420</v>
      </c>
    </row>
    <row r="8" spans="1:14" x14ac:dyDescent="0.2">
      <c r="A8" s="14" t="s">
        <v>142</v>
      </c>
      <c r="B8" s="11">
        <v>437179070</v>
      </c>
      <c r="C8" s="11">
        <v>1042422300</v>
      </c>
      <c r="D8" s="11">
        <v>2491624000</v>
      </c>
      <c r="E8" s="11">
        <v>864346400</v>
      </c>
      <c r="F8" s="11">
        <v>4835571770</v>
      </c>
      <c r="I8" s="14" t="s">
        <v>142</v>
      </c>
      <c r="J8" s="2">
        <v>635370</v>
      </c>
      <c r="K8" s="2">
        <v>593370</v>
      </c>
      <c r="L8" s="2">
        <v>654550</v>
      </c>
      <c r="M8" s="2">
        <v>347690</v>
      </c>
      <c r="N8" s="2">
        <v>2230980</v>
      </c>
    </row>
  </sheetData>
  <pageMargins left="0.7" right="0.7" top="0.75" bottom="0.75" header="0.3" footer="0.3"/>
  <pageSetup orientation="portrait" horizontalDpi="0" verticalDpi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258D-8307-5C48-9EAB-C9F84261A7B0}">
  <dimension ref="A1:L48"/>
  <sheetViews>
    <sheetView zoomScale="86" workbookViewId="0">
      <selection activeCell="F30" sqref="F30"/>
    </sheetView>
  </sheetViews>
  <sheetFormatPr baseColWidth="10" defaultRowHeight="15" x14ac:dyDescent="0.2"/>
  <cols>
    <col min="1" max="1" width="20" bestFit="1" customWidth="1"/>
    <col min="2" max="3" width="15" bestFit="1" customWidth="1"/>
    <col min="4" max="4" width="15.1640625" bestFit="1" customWidth="1"/>
    <col min="5" max="5" width="18.83203125" bestFit="1" customWidth="1"/>
    <col min="6" max="6" width="18.6640625" bestFit="1" customWidth="1"/>
    <col min="7" max="7" width="15.1640625" bestFit="1" customWidth="1"/>
    <col min="8" max="8" width="20" bestFit="1" customWidth="1"/>
    <col min="9" max="9" width="16" bestFit="1" customWidth="1"/>
    <col min="10" max="10" width="15" bestFit="1" customWidth="1"/>
    <col min="11" max="11" width="15.1640625" bestFit="1" customWidth="1"/>
    <col min="12" max="12" width="18.83203125" bestFit="1" customWidth="1"/>
    <col min="13" max="13" width="10" bestFit="1" customWidth="1"/>
    <col min="14" max="14" width="14.5" bestFit="1" customWidth="1"/>
    <col min="15" max="15" width="15" bestFit="1" customWidth="1"/>
    <col min="16" max="16" width="18.6640625" bestFit="1" customWidth="1"/>
    <col min="17" max="17" width="23.5" bestFit="1" customWidth="1"/>
    <col min="18" max="18" width="14.5" bestFit="1" customWidth="1"/>
    <col min="19" max="19" width="10.5" bestFit="1" customWidth="1"/>
    <col min="20" max="20" width="10" bestFit="1" customWidth="1"/>
  </cols>
  <sheetData>
    <row r="1" spans="1:12" x14ac:dyDescent="0.2">
      <c r="A1" s="10" t="s">
        <v>0</v>
      </c>
      <c r="B1" s="10" t="s">
        <v>97</v>
      </c>
      <c r="H1" s="10" t="s">
        <v>0</v>
      </c>
      <c r="I1" s="10" t="s">
        <v>98</v>
      </c>
    </row>
    <row r="3" spans="1:12" x14ac:dyDescent="0.2">
      <c r="A3" s="10" t="s">
        <v>117</v>
      </c>
      <c r="B3" s="10" t="s">
        <v>5</v>
      </c>
      <c r="C3" s="10"/>
      <c r="D3" s="10"/>
      <c r="E3" s="10"/>
      <c r="H3" s="10" t="s">
        <v>117</v>
      </c>
      <c r="I3" s="10" t="s">
        <v>5</v>
      </c>
      <c r="J3" s="10"/>
      <c r="K3" s="10"/>
      <c r="L3" s="10"/>
    </row>
    <row r="4" spans="1:12" x14ac:dyDescent="0.2">
      <c r="A4" s="10" t="s">
        <v>99</v>
      </c>
      <c r="B4" s="10" t="s">
        <v>100</v>
      </c>
      <c r="C4" s="10" t="s">
        <v>101</v>
      </c>
      <c r="D4" s="10" t="s">
        <v>103</v>
      </c>
      <c r="E4" s="10" t="s">
        <v>102</v>
      </c>
      <c r="H4" s="10" t="s">
        <v>99</v>
      </c>
      <c r="I4" s="10" t="s">
        <v>100</v>
      </c>
      <c r="J4" s="10" t="s">
        <v>101</v>
      </c>
      <c r="K4" s="10" t="s">
        <v>103</v>
      </c>
      <c r="L4" s="10" t="s">
        <v>102</v>
      </c>
    </row>
    <row r="5" spans="1:12" x14ac:dyDescent="0.2">
      <c r="A5" s="23">
        <v>2022</v>
      </c>
      <c r="B5" s="37">
        <v>275097730</v>
      </c>
      <c r="C5" s="37">
        <v>23264980</v>
      </c>
      <c r="D5" s="37">
        <v>816958710</v>
      </c>
      <c r="E5" s="37">
        <v>150743790</v>
      </c>
      <c r="H5" s="38">
        <v>2022</v>
      </c>
      <c r="I5" s="39">
        <v>149370</v>
      </c>
      <c r="J5" s="39">
        <v>13020</v>
      </c>
      <c r="K5" s="39">
        <v>429340</v>
      </c>
      <c r="L5" s="39">
        <v>59080</v>
      </c>
    </row>
    <row r="6" spans="1:12" x14ac:dyDescent="0.2">
      <c r="A6" s="23">
        <v>2023</v>
      </c>
      <c r="B6" s="37">
        <v>320338470</v>
      </c>
      <c r="C6" s="37">
        <v>31538190</v>
      </c>
      <c r="D6" s="37">
        <v>974353090</v>
      </c>
      <c r="E6" s="37">
        <v>157773460</v>
      </c>
      <c r="H6" s="38">
        <v>2023</v>
      </c>
      <c r="I6" s="39">
        <v>164390</v>
      </c>
      <c r="J6" s="39">
        <v>16370</v>
      </c>
      <c r="K6" s="39">
        <v>488130</v>
      </c>
      <c r="L6" s="39">
        <v>61860</v>
      </c>
    </row>
    <row r="7" spans="1:12" x14ac:dyDescent="0.2">
      <c r="A7" s="23">
        <v>2024</v>
      </c>
      <c r="B7" s="37">
        <v>405316400</v>
      </c>
      <c r="C7" s="37">
        <v>417124630</v>
      </c>
      <c r="D7" s="37">
        <v>1108577840</v>
      </c>
      <c r="E7" s="37">
        <v>154484480</v>
      </c>
      <c r="H7" s="38">
        <v>2024</v>
      </c>
      <c r="I7" s="39">
        <v>198120</v>
      </c>
      <c r="J7" s="39">
        <v>62370</v>
      </c>
      <c r="K7" s="39">
        <v>542320</v>
      </c>
      <c r="L7" s="39">
        <v>46610</v>
      </c>
    </row>
    <row r="48" spans="1:1" ht="320" x14ac:dyDescent="0.2">
      <c r="A48" s="3" t="s">
        <v>132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4994-8ED2-1440-A22C-C3F198F1056C}">
  <dimension ref="A1:D4"/>
  <sheetViews>
    <sheetView workbookViewId="0">
      <selection activeCell="L20" sqref="L20"/>
    </sheetView>
  </sheetViews>
  <sheetFormatPr baseColWidth="10" defaultRowHeight="15" x14ac:dyDescent="0.2"/>
  <cols>
    <col min="1" max="1" width="8" bestFit="1" customWidth="1"/>
    <col min="2" max="2" width="17.33203125" bestFit="1" customWidth="1"/>
    <col min="3" max="3" width="17.6640625" customWidth="1"/>
    <col min="4" max="4" width="27.5" customWidth="1"/>
  </cols>
  <sheetData>
    <row r="1" spans="1:4" ht="19" x14ac:dyDescent="0.25">
      <c r="A1" s="41" t="s">
        <v>120</v>
      </c>
      <c r="B1" s="41"/>
      <c r="C1" s="41"/>
      <c r="D1" s="41"/>
    </row>
    <row r="2" spans="1:4" x14ac:dyDescent="0.2">
      <c r="A2" s="30" t="s">
        <v>118</v>
      </c>
      <c r="B2" s="30" t="s">
        <v>104</v>
      </c>
      <c r="C2" s="30" t="s">
        <v>105</v>
      </c>
      <c r="D2" s="30" t="s">
        <v>119</v>
      </c>
    </row>
    <row r="3" spans="1:4" x14ac:dyDescent="0.2">
      <c r="A3" s="24" t="s">
        <v>98</v>
      </c>
      <c r="B3" s="25">
        <f>SUMIFS(Measure_Vaules,Measure_Names, "Units", Year, 2024)</f>
        <v>849420</v>
      </c>
      <c r="C3" s="26">
        <f>SUMIFS(Measure_Vaules,Measure_Names, "Units", Year, 2024, Manufacturer, "JustPulse Medical")</f>
        <v>542320</v>
      </c>
      <c r="D3" s="27">
        <f>ROUND(JustPulse_Units/Market_Units, 2)</f>
        <v>0.64</v>
      </c>
    </row>
    <row r="4" spans="1:4" x14ac:dyDescent="0.2">
      <c r="A4" s="24" t="s">
        <v>97</v>
      </c>
      <c r="B4" s="28">
        <f>SUMIFS(Measure_Vaules,Measure_Names, "Revenue", Year, 2024)</f>
        <v>2085503350</v>
      </c>
      <c r="C4" s="28">
        <f>SUMIFS(Measure_Vaules,Measure_Names, "Revenue", Year, 2024, Manufacturer, "JustPulse Medical")</f>
        <v>1108577840</v>
      </c>
      <c r="D4" s="27">
        <f>ROUND(JustPulse_Revenue/Market_Revenue, 2)</f>
        <v>0.53</v>
      </c>
    </row>
  </sheetData>
  <mergeCells count="1">
    <mergeCell ref="A1:D1"/>
  </mergeCells>
  <conditionalFormatting sqref="D3:D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{109B8790-4EF6-BD44-814A-93DBFDB7BE89}</x14:id>
        </ext>
      </extLst>
    </cfRule>
  </conditionalFormatting>
  <conditionalFormatting sqref="D3:D1048576 D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{C51142D3-7BCB-094C-8986-BC1DFBE046E2}</x14:id>
        </ext>
      </extLst>
    </cfRule>
  </conditionalFormatting>
  <conditionalFormatting sqref="M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{9412D70A-5DC7-3247-83E4-BAED15700B75}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9B8790-4EF6-BD44-814A-93DBFDB7BE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D3:D4</xm:sqref>
        </x14:conditionalFormatting>
        <x14:conditionalFormatting xmlns:xm="http://schemas.microsoft.com/office/excel/2006/main">
          <x14:cfRule type="dataBar" id="{C51142D3-7BCB-094C-8986-BC1DFBE046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D3:D1048576 D1</xm:sqref>
        </x14:conditionalFormatting>
        <x14:conditionalFormatting xmlns:xm="http://schemas.microsoft.com/office/excel/2006/main">
          <x14:cfRule type="dataBar" id="{9412D70A-5DC7-3247-83E4-BAED15700B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BACB-9167-5B46-A532-2B7087482533}">
  <dimension ref="A1:C35"/>
  <sheetViews>
    <sheetView workbookViewId="0">
      <selection activeCell="F50" sqref="F50"/>
    </sheetView>
  </sheetViews>
  <sheetFormatPr baseColWidth="10" defaultRowHeight="15" x14ac:dyDescent="0.2"/>
  <cols>
    <col min="1" max="1" width="57.33203125" customWidth="1"/>
    <col min="3" max="3" width="14" bestFit="1" customWidth="1"/>
  </cols>
  <sheetData>
    <row r="1" spans="1:3" ht="19" x14ac:dyDescent="0.25">
      <c r="A1" s="41" t="s">
        <v>106</v>
      </c>
      <c r="B1" s="41"/>
      <c r="C1" s="41"/>
    </row>
    <row r="2" spans="1:3" x14ac:dyDescent="0.2">
      <c r="A2" s="29" t="s">
        <v>107</v>
      </c>
      <c r="B2" s="29" t="s">
        <v>98</v>
      </c>
      <c r="C2" s="29" t="s">
        <v>97</v>
      </c>
    </row>
    <row r="3" spans="1:3" x14ac:dyDescent="0.2">
      <c r="A3" s="21" t="s">
        <v>108</v>
      </c>
      <c r="B3" s="22">
        <f>(SUMIFS(Measure_Vaules,Measure_Names, "Units", Year, 2023) - SUMIFS(Measure_Vaules,Measure_Names, "Units", Year, 2022)) / SUMIFS(Measure_Vaules,Measure_Names, "Units", Year, 2022)</f>
        <v>0.12283154837817489</v>
      </c>
      <c r="C3" s="22">
        <f>(SUMIFS(Measure_Vaules,Measure_Names, "Revenue", Year, 2023) - SUMIFS(Measure_Vaules,Measure_Names, "Revenue", Year, 2022)) / SUMIFS(Measure_Vaules,Measure_Names, "Revenue", Year, 2022)</f>
        <v>0.17213805282588882</v>
      </c>
    </row>
    <row r="4" spans="1:3" x14ac:dyDescent="0.2">
      <c r="A4" s="21" t="s">
        <v>109</v>
      </c>
      <c r="B4" s="22">
        <f>(SUMIFS(Measure_Vaules,Measure_Names, "Units", Year, 2024) - SUMIFS(Measure_Vaules,Measure_Names, "Units", Year, 2023)) / SUMIFS(Measure_Vaules,Measure_Names, "Units", Year, 2023)</f>
        <v>0.1623947998631543</v>
      </c>
      <c r="C4" s="22">
        <f>(SUMIFS(Measure_Vaules,Measure_Names, "Revenue", Year, 2024) - SUMIFS(Measure_Vaules,Measure_Names, "Revenue", Year, 2023)) / SUMIFS(Measure_Vaules,Measure_Names, "Revenue", Year, 2023)</f>
        <v>0.40532266773196535</v>
      </c>
    </row>
    <row r="6" spans="1:3" x14ac:dyDescent="0.2">
      <c r="A6" s="29" t="s">
        <v>110</v>
      </c>
      <c r="B6" s="29" t="s">
        <v>98</v>
      </c>
      <c r="C6" s="29" t="s">
        <v>97</v>
      </c>
    </row>
    <row r="7" spans="1:3" x14ac:dyDescent="0.2">
      <c r="A7" s="21" t="s">
        <v>108</v>
      </c>
      <c r="B7" s="22">
        <f>(SUMIFS(Measure_Vaules,Measure_Names, "Units", Year, 2023,Manufacturer, "JustPulse Medical") - SUMIFS(Measure_Vaules,Measure_Names, "Units", Year, 2022, Manufacturer, "JustPulse Medical")) / SUMIFS(Measure_Vaules,Measure_Names, "Units", Year, 2022, Manufacturer, "JustPulse Medical")</f>
        <v>0.13693110355429264</v>
      </c>
      <c r="C7" s="22">
        <f>(SUMIFS(Measure_Vaules,Measure_Names, "Revenue", Year, 2023, Manufacturer, "JustPulse Medical") - SUMIFS(Measure_Vaules,Measure_Names, "Revenue", Year, 2022, Manufacturer, "JustPulse Medical")) / SUMIFS(Measure_Vaules,Measure_Names, "Revenue", Year, 2022, Manufacturer, "JustPulse Medical")</f>
        <v>0.19265891662994816</v>
      </c>
    </row>
    <row r="8" spans="1:3" x14ac:dyDescent="0.2">
      <c r="A8" s="21" t="s">
        <v>109</v>
      </c>
      <c r="B8" s="22">
        <f>(SUMIFS(Measure_Vaules,Measure_Names, "Units", Year, 2024, Manufacturer, "JustPulse Medical") - SUMIFS(Measure_Vaules,Measure_Names, "Units", Year, 2023,Manufacturer, "JustPulse Medical")) / SUMIFS(Measure_Vaules,Measure_Names, "Units", Year, 2023, Manufacturer, "JustPulse Medical")</f>
        <v>0.11101550816380883</v>
      </c>
      <c r="C8" s="22">
        <f>ROUNDDOWN((SUMIFS(Measure_Vaules,Measure_Names, "Revenue", Year, 2024, Manufacturer, "JustPulse Medical") - SUMIFS(Measure_Vaules,Measure_Names, "Revenue", Year, 2023, Manufacturer, "JustPulse Medical")) / SUMIFS(Measure_Vaules,Measure_Names, "Revenue", Year, 2023, Manufacturer, "JustPulse Medical"), 4)</f>
        <v>0.13769999999999999</v>
      </c>
    </row>
    <row r="10" spans="1:3" x14ac:dyDescent="0.2">
      <c r="A10" s="29" t="s">
        <v>121</v>
      </c>
      <c r="B10" s="29" t="s">
        <v>122</v>
      </c>
      <c r="C10" s="29" t="s">
        <v>123</v>
      </c>
    </row>
    <row r="11" spans="1:3" x14ac:dyDescent="0.2">
      <c r="A11" s="23" t="s">
        <v>124</v>
      </c>
      <c r="B11" s="18">
        <f>(SUMIFS(Measure_Vaules,Measure_Names, "Units", Year, 2023) - SUMIFS(Measure_Vaules,Measure_Names, "Units", Year, 2022)) / SUMIFS(Measure_Vaules,Measure_Names, "Units", Year, 2022)</f>
        <v>0.12283154837817489</v>
      </c>
      <c r="C11" s="18">
        <f>(SUMIFS(Measure_Vaules,Measure_Names, "Revenue", Year, 2023) - SUMIFS(Measure_Vaules,Measure_Names, "Revenue", Year, 2022)) / SUMIFS(Measure_Vaules,Measure_Names, "Revenue", Year, 2022)</f>
        <v>0.17213805282588882</v>
      </c>
    </row>
    <row r="12" spans="1:3" x14ac:dyDescent="0.2">
      <c r="A12" s="23" t="s">
        <v>125</v>
      </c>
      <c r="B12" s="18">
        <f>(SUMIFS(Measure_Vaules,Measure_Names, "Units", Year, 2024) - SUMIFS(Measure_Vaules,Measure_Names, "Units", Year, 2023)) / SUMIFS(Measure_Vaules,Measure_Names, "Units", Year, 2023)</f>
        <v>0.1623947998631543</v>
      </c>
      <c r="C12" s="18">
        <f>(SUMIFS(Measure_Vaules,Measure_Names, "Revenue", Year, 2024) - SUMIFS(Measure_Vaules,Measure_Names, "Revenue", Year, 2023)) / SUMIFS(Measure_Vaules,Measure_Names, "Revenue", Year, 2023)</f>
        <v>0.40532266773196535</v>
      </c>
    </row>
    <row r="13" spans="1:3" x14ac:dyDescent="0.2">
      <c r="A13" s="23" t="s">
        <v>126</v>
      </c>
      <c r="B13" s="18">
        <f>(SUMIFS(Measure_Vaules,Measure_Names, "Units", Year, 2023,Manufacturer, "JustPulse Medical") - SUMIFS(Measure_Vaules,Measure_Names, "Units", Year, 2022, Manufacturer, "JustPulse Medical")) / SUMIFS(Measure_Vaules,Measure_Names, "Units", Year, 2022, Manufacturer, "JustPulse Medical")</f>
        <v>0.13693110355429264</v>
      </c>
      <c r="C13" s="18">
        <f>(SUMIFS(Measure_Vaules,Measure_Names, "Revenue", Year, 2023, Manufacturer, "JustPulse Medical") - SUMIFS(Measure_Vaules,Measure_Names, "Revenue", Year, 2022, Manufacturer, "JustPulse Medical")) / SUMIFS(Measure_Vaules,Measure_Names, "Revenue", Year, 2022, Manufacturer, "JustPulse Medical")</f>
        <v>0.19265891662994816</v>
      </c>
    </row>
    <row r="14" spans="1:3" x14ac:dyDescent="0.2">
      <c r="A14" s="23" t="s">
        <v>127</v>
      </c>
      <c r="B14" s="18">
        <f>(SUMIFS(Measure_Vaules,Measure_Names, "Units", Year, 2024, Manufacturer, "JustPulse Medical") - SUMIFS(Measure_Vaules,Measure_Names, "Units", Year, 2023,Manufacturer, "JustPulse Medical")) / SUMIFS(Measure_Vaules,Measure_Names, "Units", Year, 2023, Manufacturer, "JustPulse Medical")</f>
        <v>0.11101550816380883</v>
      </c>
      <c r="C14" s="18">
        <f>ROUNDDOWN((SUMIFS(Measure_Vaules,Measure_Names, "Revenue", Year, 2024, Manufacturer, "JustPulse Medical") - SUMIFS(Measure_Vaules,Measure_Names, "Revenue", Year, 2023, Manufacturer, "JustPulse Medical")) / SUMIFS(Measure_Vaules,Measure_Names, "Revenue", Year, 2023, Manufacturer, "JustPulse Medical"), 4)</f>
        <v>0.13769999999999999</v>
      </c>
    </row>
    <row r="33" spans="1:1" x14ac:dyDescent="0.2">
      <c r="A33" t="s">
        <v>128</v>
      </c>
    </row>
    <row r="35" spans="1:1" x14ac:dyDescent="0.2">
      <c r="A35" t="s">
        <v>129</v>
      </c>
    </row>
  </sheetData>
  <mergeCells count="1">
    <mergeCell ref="A1:C1"/>
  </mergeCells>
  <conditionalFormatting sqref="B3:B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{4549318E-E49D-E044-A45E-8E40B50C27F5}</x14:id>
        </ext>
      </extLst>
    </cfRule>
  </conditionalFormatting>
  <conditionalFormatting sqref="B7:B8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{0BCC5478-6DF1-314B-98B7-EEB2AD0A2399}</x14:id>
        </ext>
      </extLst>
    </cfRule>
  </conditionalFormatting>
  <conditionalFormatting sqref="B11:B14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{202DB731-83B4-B644-9475-EEDE60902660}</x14:id>
        </ext>
      </extLst>
    </cfRule>
  </conditionalFormatting>
  <conditionalFormatting sqref="C3:C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{6FBA0BF7-B9B5-D74B-820F-802C10EEE7DE}</x14:id>
        </ext>
      </extLst>
    </cfRule>
  </conditionalFormatting>
  <conditionalFormatting sqref="C7:C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{092E4346-AC69-F14E-AD56-95D329A59CE6}</x14:id>
        </ext>
      </extLst>
    </cfRule>
  </conditionalFormatting>
  <conditionalFormatting sqref="C11:C14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{1D555983-A6D6-E643-9561-5CFFF028A2FC}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49318E-E49D-E044-A45E-8E40B50C27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B3:B4</xm:sqref>
        </x14:conditionalFormatting>
        <x14:conditionalFormatting xmlns:xm="http://schemas.microsoft.com/office/excel/2006/main">
          <x14:cfRule type="dataBar" id="{0BCC5478-6DF1-314B-98B7-EEB2AD0A239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B7:B8</xm:sqref>
        </x14:conditionalFormatting>
        <x14:conditionalFormatting xmlns:xm="http://schemas.microsoft.com/office/excel/2006/main">
          <x14:cfRule type="dataBar" id="{202DB731-83B4-B644-9475-EEDE6090266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B11:B14</xm:sqref>
        </x14:conditionalFormatting>
        <x14:conditionalFormatting xmlns:xm="http://schemas.microsoft.com/office/excel/2006/main">
          <x14:cfRule type="dataBar" id="{6FBA0BF7-B9B5-D74B-820F-802C10EEE7D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C3:C4</xm:sqref>
        </x14:conditionalFormatting>
        <x14:conditionalFormatting xmlns:xm="http://schemas.microsoft.com/office/excel/2006/main">
          <x14:cfRule type="dataBar" id="{092E4346-AC69-F14E-AD56-95D329A59C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C7:C8</xm:sqref>
        </x14:conditionalFormatting>
        <x14:conditionalFormatting xmlns:xm="http://schemas.microsoft.com/office/excel/2006/main">
          <x14:cfRule type="dataBar" id="{1D555983-A6D6-E643-9561-5CFFF028A2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353B-1476-D645-A491-BC589809C98A}">
  <dimension ref="A1:E43"/>
  <sheetViews>
    <sheetView workbookViewId="0">
      <selection activeCell="S46" sqref="S46"/>
    </sheetView>
  </sheetViews>
  <sheetFormatPr baseColWidth="10" defaultRowHeight="15" x14ac:dyDescent="0.2"/>
  <cols>
    <col min="1" max="1" width="42.5" bestFit="1" customWidth="1"/>
    <col min="2" max="3" width="11.1640625" bestFit="1" customWidth="1"/>
  </cols>
  <sheetData>
    <row r="1" spans="1:5" x14ac:dyDescent="0.2">
      <c r="A1" s="34" t="s">
        <v>114</v>
      </c>
      <c r="B1" s="34" t="s">
        <v>98</v>
      </c>
      <c r="C1" s="34" t="s">
        <v>97</v>
      </c>
    </row>
    <row r="2" spans="1:5" x14ac:dyDescent="0.2">
      <c r="A2" s="31">
        <v>2022</v>
      </c>
      <c r="B2" s="19">
        <f>SUMIFS(Measure_Vaules,Measure_Names, "Units", Year, 2022)</f>
        <v>650810</v>
      </c>
      <c r="C2" s="32">
        <f>SUMIFS(Measure_Vaules,Measure_Names, "Revenue", Year, 2022)</f>
        <v>1266065210</v>
      </c>
    </row>
    <row r="3" spans="1:5" x14ac:dyDescent="0.2">
      <c r="A3" s="31">
        <v>2023</v>
      </c>
      <c r="B3" s="19">
        <f>SUMIFS(Measure_Vaules,Measure_Names, "Units", Year, 2023)</f>
        <v>730750</v>
      </c>
      <c r="C3" s="32">
        <f>SUMIFS(Measure_Vaules,Measure_Names, "Revenue", Year, 2023)</f>
        <v>1484003210</v>
      </c>
    </row>
    <row r="4" spans="1:5" x14ac:dyDescent="0.2">
      <c r="A4" s="31">
        <v>2024</v>
      </c>
      <c r="B4" s="19">
        <f>SUMIFS(Measure_Vaules,Measure_Names, "Units", Year, 2024)</f>
        <v>849420</v>
      </c>
      <c r="C4" s="32">
        <f>SUMIFS(Measure_Vaules,Measure_Names, "Revenue", Year, 2024)</f>
        <v>2085503350</v>
      </c>
    </row>
    <row r="6" spans="1:5" x14ac:dyDescent="0.2">
      <c r="A6" s="34" t="s">
        <v>115</v>
      </c>
      <c r="B6" s="34" t="s">
        <v>98</v>
      </c>
      <c r="C6" s="34" t="s">
        <v>97</v>
      </c>
    </row>
    <row r="7" spans="1:5" x14ac:dyDescent="0.2">
      <c r="A7" s="31">
        <v>2022</v>
      </c>
      <c r="B7" s="19">
        <f>SUMIFS(Measure_Vaules,Measure_Names, "Units", Year, 2022, Manufacturer, "JustPulse Medical")</f>
        <v>429340</v>
      </c>
      <c r="C7" s="32">
        <f>SUMIFS(Measure_Vaules,Measure_Names, "Revenue", Year, 2022, Manufacturer, "JustPulse Medical")</f>
        <v>816958710</v>
      </c>
      <c r="E7" s="4"/>
    </row>
    <row r="8" spans="1:5" x14ac:dyDescent="0.2">
      <c r="A8" s="31">
        <v>2023</v>
      </c>
      <c r="B8" s="19">
        <f>SUMIFS(Measure_Vaules,Measure_Names, "Units", Year, 2023, Manufacturer, "JustPulse Medical")</f>
        <v>488130</v>
      </c>
      <c r="C8" s="32">
        <f>SUMIFS(Measure_Vaules,Measure_Names, "Revenue", Year, 2023, Manufacturer, "JustPulse Medical")</f>
        <v>974353090</v>
      </c>
    </row>
    <row r="9" spans="1:5" x14ac:dyDescent="0.2">
      <c r="A9" s="31">
        <v>2024</v>
      </c>
      <c r="B9" s="19">
        <f>SUMIFS(Measure_Vaules,Measure_Names, "Units", Year, 2024, Manufacturer, "JustPulse Medical")</f>
        <v>542320</v>
      </c>
      <c r="C9" s="32">
        <f>SUMIFS(Measure_Vaules,Measure_Names, "Revenue", Year, 2024, Manufacturer, "JustPulse Medical")</f>
        <v>1108577840</v>
      </c>
    </row>
    <row r="11" spans="1:5" x14ac:dyDescent="0.2">
      <c r="A11" s="34" t="s">
        <v>116</v>
      </c>
      <c r="B11" s="34" t="s">
        <v>98</v>
      </c>
      <c r="C11" s="34" t="s">
        <v>97</v>
      </c>
    </row>
    <row r="12" spans="1:5" x14ac:dyDescent="0.2">
      <c r="A12" s="31" t="s">
        <v>108</v>
      </c>
      <c r="B12" s="33">
        <f>(Units_2023-Units_2022)/Units_2022</f>
        <v>0.12283154837817489</v>
      </c>
      <c r="C12" s="33">
        <f>(Revenue_2023-Revenue_2022)/Revenue_2022</f>
        <v>0.17213805282588882</v>
      </c>
    </row>
    <row r="13" spans="1:5" x14ac:dyDescent="0.2">
      <c r="A13" s="31" t="s">
        <v>109</v>
      </c>
      <c r="B13" s="33">
        <f>(Units_2024-Units_2023)/Units_2023</f>
        <v>0.1623947998631543</v>
      </c>
      <c r="C13" s="33">
        <f>(Revenue_2024-Revenue_2023)/Revenue_2023</f>
        <v>0.40532266773196535</v>
      </c>
    </row>
    <row r="15" spans="1:5" x14ac:dyDescent="0.2">
      <c r="A15" s="34" t="s">
        <v>111</v>
      </c>
      <c r="B15" s="20">
        <f>(Units_2024/Units_2022)^(1/2) -1</f>
        <v>0.14244192541988077</v>
      </c>
    </row>
    <row r="16" spans="1:5" x14ac:dyDescent="0.2">
      <c r="A16" s="34" t="s">
        <v>112</v>
      </c>
      <c r="B16" s="20">
        <f>(Revenue_2024/Revenue_2022)^(1/2) -1</f>
        <v>0.2834454313867143</v>
      </c>
    </row>
    <row r="18" spans="1:3" x14ac:dyDescent="0.2">
      <c r="A18" s="34" t="s">
        <v>113</v>
      </c>
      <c r="B18" s="34" t="s">
        <v>98</v>
      </c>
      <c r="C18" s="34" t="s">
        <v>97</v>
      </c>
    </row>
    <row r="19" spans="1:3" x14ac:dyDescent="0.2">
      <c r="A19" s="31">
        <v>2025</v>
      </c>
      <c r="B19" s="19">
        <f>ROUND(SUMIFS(Measure_Vaules, Measure_Names, "Units", Year, 2024) * (1+CAGR_Units)^(2025-2024), 2)</f>
        <v>970413.02</v>
      </c>
      <c r="C19" s="32">
        <f>ROUND(SUMIFS(Measure_Vaules, Measure_Names, "Revenue", Year, 2024) * (1+CAGR_Revenue)^(2025-2024), 2)</f>
        <v>2676629746.6999998</v>
      </c>
    </row>
    <row r="20" spans="1:3" x14ac:dyDescent="0.2">
      <c r="A20" s="31">
        <v>2026</v>
      </c>
      <c r="B20" s="19">
        <f>ROUND(SUMIFS(Measure_Vaules, Measure_Names, "Units", Year, 2024) * (1+CAGR_Units)^(2026-2024), 2)</f>
        <v>1108640.52</v>
      </c>
      <c r="C20" s="32">
        <f>ROUND(SUMIFS(Measure_Vaules, Measure_Names, "Revenue", Year, 2024) * (1+CAGR_Revenue)^(2026-2024), 2)</f>
        <v>3435308219.9099998</v>
      </c>
    </row>
    <row r="21" spans="1:3" x14ac:dyDescent="0.2">
      <c r="A21" s="31">
        <v>2027</v>
      </c>
      <c r="B21" s="19">
        <f>ROUND(SUMIFS(Measure_Vaules, Measure_Names, "Units", Year, 2024) * (1+CAGR_Units)^(2027-2024), 2)</f>
        <v>1266557.4099999999</v>
      </c>
      <c r="C21" s="32">
        <f>ROUND(SUMIFS(Measure_Vaules, Measure_Names, "Revenue", Year, 2024) * (1+CAGR_Revenue)^(2027-2024), 2)</f>
        <v>4409030640.25</v>
      </c>
    </row>
    <row r="23" spans="1:3" x14ac:dyDescent="0.2">
      <c r="A23" s="34" t="s">
        <v>144</v>
      </c>
      <c r="B23" s="34" t="s">
        <v>98</v>
      </c>
      <c r="C23" s="34" t="s">
        <v>97</v>
      </c>
    </row>
    <row r="24" spans="1:3" x14ac:dyDescent="0.2">
      <c r="A24" s="31">
        <v>2025</v>
      </c>
      <c r="B24" s="19">
        <f>ROUND(SUMIFS(Measure_Vaules, Measure_Names, "Units", Year, 2024, Manufacturer, "JustPulse Medical") * (1+CAGR_Units)^(2025-2024), 2)</f>
        <v>619569.1</v>
      </c>
      <c r="C24" s="32">
        <f>ROUND(SUMIFS(Measure_Vaules, Measure_Names, "Revenue", Year, 2024, Manufacturer, "JustPulse Medical") * (1+CAGR_Revenue)^(2025-2024), 2)</f>
        <v>1422799164.0799999</v>
      </c>
    </row>
    <row r="25" spans="1:3" x14ac:dyDescent="0.2">
      <c r="A25" s="31">
        <v>2026</v>
      </c>
      <c r="B25" s="19">
        <f>ROUND(SUMIFS(Measure_Vaules, Measure_Names, "Units", Year, 2024, Manufacturer, "JustPulse Medical") * (1+CAGR_Units)^(2026-2024), 2)</f>
        <v>707821.72</v>
      </c>
      <c r="C25" s="32">
        <f>ROUND(SUMIFS(Measure_Vaules, Measure_Names, "Revenue", Year, 2024, Manufacturer, "JustPulse Medical") * (1+CAGR_Revenue)^(2026-2024), 2)</f>
        <v>1826085086.9300001</v>
      </c>
    </row>
    <row r="26" spans="1:3" x14ac:dyDescent="0.2">
      <c r="A26" s="31">
        <v>2027</v>
      </c>
      <c r="B26" s="19">
        <f>ROUND(SUMIFS(Measure_Vaules, Measure_Names, "Units", Year, 2024, Manufacturer, "JustPulse Medical") * (1+CAGR_Units)^(2027-2024), 2)</f>
        <v>808645.21</v>
      </c>
      <c r="C26" s="32">
        <f>ROUND(SUMIFS(Measure_Vaules, Measure_Names, "Revenue", Year, 2024, Manufacturer, "JustPulse Medical") * (1+CAGR_Revenue)^(2027-2024), 2)</f>
        <v>2343680562.1399999</v>
      </c>
    </row>
    <row r="29" spans="1:3" x14ac:dyDescent="0.2">
      <c r="A29" s="34" t="s">
        <v>115</v>
      </c>
      <c r="B29" s="34" t="s">
        <v>98</v>
      </c>
      <c r="C29" s="34" t="s">
        <v>97</v>
      </c>
    </row>
    <row r="30" spans="1:3" x14ac:dyDescent="0.2">
      <c r="A30" s="31">
        <v>2022</v>
      </c>
      <c r="B30" s="19">
        <f>SUMIFS(Measure_Vaules,Measure_Names, "Units", Year, 2022, Manufacturer, "JustPulse Medical")</f>
        <v>429340</v>
      </c>
      <c r="C30" s="32">
        <f>SUMIFS(Measure_Vaules,Measure_Names, "Revenue", Year, 2022, Manufacturer, "JustPulse Medical")</f>
        <v>816958710</v>
      </c>
    </row>
    <row r="31" spans="1:3" x14ac:dyDescent="0.2">
      <c r="A31" s="31">
        <v>2023</v>
      </c>
      <c r="B31" s="19">
        <f>SUMIFS(Measure_Vaules,Measure_Names, "Units", Year, 2023, Manufacturer, "JustPulse Medical")</f>
        <v>488130</v>
      </c>
      <c r="C31" s="32">
        <f>SUMIFS(Measure_Vaules,Measure_Names, "Revenue", Year, 2023, Manufacturer, "JustPulse Medical")</f>
        <v>974353090</v>
      </c>
    </row>
    <row r="32" spans="1:3" x14ac:dyDescent="0.2">
      <c r="A32" s="31">
        <v>2024</v>
      </c>
      <c r="B32" s="19">
        <f>SUMIFS(Measure_Vaules,Measure_Names, "Units", Year, 2024, Manufacturer, "JustPulse Medical")</f>
        <v>542320</v>
      </c>
      <c r="C32" s="32">
        <f>SUMIFS(Measure_Vaules,Measure_Names, "Revenue", Year, 2024, Manufacturer, "JustPulse Medical")</f>
        <v>1108577840</v>
      </c>
    </row>
    <row r="33" spans="1:3" x14ac:dyDescent="0.2">
      <c r="A33" s="31">
        <v>2025</v>
      </c>
      <c r="B33" s="19">
        <f>ROUND(SUMIFS(Measure_Vaules, Measure_Names, "Units", Year, 2024, Manufacturer, "JustPulse Medical") * (1+CAGR_Units)^(2025-2024), 2)</f>
        <v>619569.1</v>
      </c>
      <c r="C33" s="32">
        <f>ROUND(SUMIFS(Measure_Vaules, Measure_Names, "Revenue", Year, 2024, Manufacturer, "JustPulse Medical") * (1+CAGR_Revenue)^(2025-2024), 2)</f>
        <v>1422799164.0799999</v>
      </c>
    </row>
    <row r="34" spans="1:3" x14ac:dyDescent="0.2">
      <c r="A34" s="31">
        <v>2026</v>
      </c>
      <c r="B34" s="19">
        <f>ROUND(SUMIFS(Measure_Vaules, Measure_Names, "Units", Year, 2024, Manufacturer, "JustPulse Medical") * (1+CAGR_Units)^(2026-2024), 2)</f>
        <v>707821.72</v>
      </c>
      <c r="C34" s="32">
        <f>ROUND(SUMIFS(Measure_Vaules, Measure_Names, "Revenue", Year, 2024, Manufacturer, "JustPulse Medical") * (1+CAGR_Revenue)^(2026-2024), 2)</f>
        <v>1826085086.9300001</v>
      </c>
    </row>
    <row r="35" spans="1:3" x14ac:dyDescent="0.2">
      <c r="A35" s="31">
        <v>2027</v>
      </c>
      <c r="B35" s="19">
        <f>ROUND(SUMIFS(Measure_Vaules, Measure_Names, "Units", Year, 2024, Manufacturer, "JustPulse Medical") * (1+CAGR_Units)^(2027-2024), 2)</f>
        <v>808645.21</v>
      </c>
      <c r="C35" s="32">
        <f>ROUND(SUMIFS(Measure_Vaules, Measure_Names, "Revenue", Year, 2024, Manufacturer, "JustPulse Medical") * (1+CAGR_Revenue)^(2027-2024), 2)</f>
        <v>2343680562.1399999</v>
      </c>
    </row>
    <row r="37" spans="1:3" x14ac:dyDescent="0.2">
      <c r="A37" s="34" t="s">
        <v>114</v>
      </c>
      <c r="B37" s="34" t="s">
        <v>98</v>
      </c>
      <c r="C37" s="34" t="s">
        <v>97</v>
      </c>
    </row>
    <row r="38" spans="1:3" x14ac:dyDescent="0.2">
      <c r="A38" s="31">
        <v>2022</v>
      </c>
      <c r="B38" s="19">
        <f>SUMIFS(Measure_Vaules,Measure_Names, "Units", Year, 2022)</f>
        <v>650810</v>
      </c>
      <c r="C38" s="32">
        <f>SUMIFS(Measure_Vaules,Measure_Names, "Revenue", Year, 2022)</f>
        <v>1266065210</v>
      </c>
    </row>
    <row r="39" spans="1:3" x14ac:dyDescent="0.2">
      <c r="A39" s="31">
        <v>2023</v>
      </c>
      <c r="B39" s="19">
        <f>SUMIFS(Measure_Vaules,Measure_Names, "Units", Year, 2023)</f>
        <v>730750</v>
      </c>
      <c r="C39" s="32">
        <f>SUMIFS(Measure_Vaules,Measure_Names, "Revenue", Year, 2023)</f>
        <v>1484003210</v>
      </c>
    </row>
    <row r="40" spans="1:3" x14ac:dyDescent="0.2">
      <c r="A40" s="31">
        <v>2024</v>
      </c>
      <c r="B40" s="19">
        <f>SUMIFS(Measure_Vaules,Measure_Names, "Units", Year, 2024)</f>
        <v>849420</v>
      </c>
      <c r="C40" s="32">
        <f>SUMIFS(Measure_Vaules,Measure_Names, "Revenue", Year, 2024)</f>
        <v>2085503350</v>
      </c>
    </row>
    <row r="41" spans="1:3" x14ac:dyDescent="0.2">
      <c r="A41" s="31">
        <v>2025</v>
      </c>
      <c r="B41" s="19">
        <f>ROUND(SUMIFS(Measure_Vaules, Measure_Names, "Units", Year, 2024) * (1+CAGR_Units)^(2025-2024), 2)</f>
        <v>970413.02</v>
      </c>
      <c r="C41" s="32">
        <f>ROUND(SUMIFS(Measure_Vaules, Measure_Names, "Revenue", Year, 2024) * (1+CAGR_Revenue)^(2025-2024), 2)</f>
        <v>2676629746.6999998</v>
      </c>
    </row>
    <row r="42" spans="1:3" x14ac:dyDescent="0.2">
      <c r="A42" s="31">
        <v>2026</v>
      </c>
      <c r="B42" s="19">
        <f>ROUND(SUMIFS(Measure_Vaules, Measure_Names, "Units", Year, 2024) * (1+CAGR_Units)^(2026-2024), 2)</f>
        <v>1108640.52</v>
      </c>
      <c r="C42" s="32">
        <f>ROUND(SUMIFS(Measure_Vaules, Measure_Names, "Revenue", Year, 2024) * (1+CAGR_Revenue)^(2026-2024), 2)</f>
        <v>3435308219.9099998</v>
      </c>
    </row>
    <row r="43" spans="1:3" x14ac:dyDescent="0.2">
      <c r="A43" s="31">
        <v>2027</v>
      </c>
      <c r="B43" s="19">
        <f>ROUND(SUMIFS(Measure_Vaules, Measure_Names, "Units", Year, 2024) * (1+CAGR_Units)^(2027-2024), 2)</f>
        <v>1266557.4099999999</v>
      </c>
      <c r="C43" s="32">
        <f>ROUND(SUMIFS(Measure_Vaules, Measure_Names, "Revenue", Year, 2024) * (1+CAGR_Revenue)^(2027-2024), 2)</f>
        <v>4409030640.25</v>
      </c>
    </row>
  </sheetData>
  <conditionalFormatting sqref="B2:B4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{F103ED71-731D-7046-9CA0-5E305FC77D2D}</x14:id>
        </ext>
      </extLst>
    </cfRule>
  </conditionalFormatting>
  <conditionalFormatting sqref="B7:B9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{BB649BE9-EFA2-B748-920C-7752FA8162C9}</x14:id>
        </ext>
      </extLst>
    </cfRule>
  </conditionalFormatting>
  <conditionalFormatting sqref="B12:B13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{213E89FD-8A59-7F45-89FF-1A99D0CFC47C}</x14:id>
        </ext>
      </extLst>
    </cfRule>
  </conditionalFormatting>
  <conditionalFormatting sqref="B15:B16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{90F1A90E-ECE2-7B4F-80C4-4D7FDDCF4D07}</x14:id>
        </ext>
      </extLst>
    </cfRule>
  </conditionalFormatting>
  <conditionalFormatting sqref="B19:B21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{55D8E87C-82CB-914E-953C-08D343BC2773}</x14:id>
        </ext>
      </extLst>
    </cfRule>
  </conditionalFormatting>
  <conditionalFormatting sqref="B2:C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{16D4C50D-B988-FB4E-9F6B-96F1FB26249C}</x14:id>
        </ext>
      </extLst>
    </cfRule>
  </conditionalFormatting>
  <conditionalFormatting sqref="B7:C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{B1CC2150-66BF-1845-B776-5873BC43E9C0}</x14:id>
        </ext>
      </extLst>
    </cfRule>
  </conditionalFormatting>
  <conditionalFormatting sqref="B12:C13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{169B5869-82E5-A644-9BFD-A5B5A39F94A0}</x14:id>
        </ext>
      </extLst>
    </cfRule>
  </conditionalFormatting>
  <conditionalFormatting sqref="B19:C21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{2AB35CE5-700E-2448-A7BB-CBA2286F4799}</x14:id>
        </ext>
      </extLst>
    </cfRule>
  </conditionalFormatting>
  <conditionalFormatting sqref="C12:C13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{77207136-EAF6-C34E-9B3A-DBCEF9CBB5A2}</x14:id>
        </ext>
      </extLst>
    </cfRule>
  </conditionalFormatting>
  <conditionalFormatting sqref="L9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{214BFF6E-B610-7944-B7B8-AA10ACEC773B}</x14:id>
        </ext>
      </extLst>
    </cfRule>
  </conditionalFormatting>
  <conditionalFormatting sqref="B24:B26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{D4F31523-ADE3-4445-B8BE-4AF7B81CEC2A}</x14:id>
        </ext>
      </extLst>
    </cfRule>
  </conditionalFormatting>
  <conditionalFormatting sqref="B24:C2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{AEC965F3-323E-094F-85A0-003A70A0C120}</x14:id>
        </ext>
      </extLst>
    </cfRule>
  </conditionalFormatting>
  <conditionalFormatting sqref="B30:B32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{E1D177AC-92F2-DE42-A0E0-CF6BD76A186F}</x14:id>
        </ext>
      </extLst>
    </cfRule>
  </conditionalFormatting>
  <conditionalFormatting sqref="B30:C3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{B8DFD7DB-4BEA-4D48-BE93-ADF844F4FDB7}</x14:id>
        </ext>
      </extLst>
    </cfRule>
  </conditionalFormatting>
  <conditionalFormatting sqref="B33:B35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{D24E9599-A82F-F948-A458-752EAF0C618D}</x14:id>
        </ext>
      </extLst>
    </cfRule>
  </conditionalFormatting>
  <conditionalFormatting sqref="B33:C35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{B2CE2E24-CCB5-8B41-B95D-5BEBD392A41A}</x14:id>
        </ext>
      </extLst>
    </cfRule>
  </conditionalFormatting>
  <conditionalFormatting sqref="B38:B4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{4A4016A9-BF2D-C649-AE06-7EC92BF9346F}</x14:id>
        </ext>
      </extLst>
    </cfRule>
  </conditionalFormatting>
  <conditionalFormatting sqref="B38:C4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{78F45EEA-3AC2-4246-B32D-68265A0F91A5}</x14:id>
        </ext>
      </extLst>
    </cfRule>
  </conditionalFormatting>
  <conditionalFormatting sqref="B41:B4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{8E638EEE-30A1-9441-BFE0-3DFEA4E56AED}</x14:id>
        </ext>
      </extLst>
    </cfRule>
  </conditionalFormatting>
  <conditionalFormatting sqref="B41:C4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{24E5FECF-999A-6F44-958D-9FC883E2B692}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03ED71-731D-7046-9CA0-5E305FC77D2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B2:B4</xm:sqref>
        </x14:conditionalFormatting>
        <x14:conditionalFormatting xmlns:xm="http://schemas.microsoft.com/office/excel/2006/main">
          <x14:cfRule type="dataBar" id="{BB649BE9-EFA2-B748-920C-7752FA8162C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B7:B9</xm:sqref>
        </x14:conditionalFormatting>
        <x14:conditionalFormatting xmlns:xm="http://schemas.microsoft.com/office/excel/2006/main">
          <x14:cfRule type="dataBar" id="{213E89FD-8A59-7F45-89FF-1A99D0CFC4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B12:B13</xm:sqref>
        </x14:conditionalFormatting>
        <x14:conditionalFormatting xmlns:xm="http://schemas.microsoft.com/office/excel/2006/main">
          <x14:cfRule type="dataBar" id="{90F1A90E-ECE2-7B4F-80C4-4D7FDDCF4D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B15:B16</xm:sqref>
        </x14:conditionalFormatting>
        <x14:conditionalFormatting xmlns:xm="http://schemas.microsoft.com/office/excel/2006/main">
          <x14:cfRule type="dataBar" id="{55D8E87C-82CB-914E-953C-08D343BC27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B19:B21</xm:sqref>
        </x14:conditionalFormatting>
        <x14:conditionalFormatting xmlns:xm="http://schemas.microsoft.com/office/excel/2006/main">
          <x14:cfRule type="dataBar" id="{16D4C50D-B988-FB4E-9F6B-96F1FB2624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B2:C4</xm:sqref>
        </x14:conditionalFormatting>
        <x14:conditionalFormatting xmlns:xm="http://schemas.microsoft.com/office/excel/2006/main">
          <x14:cfRule type="dataBar" id="{B1CC2150-66BF-1845-B776-5873BC43E9C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B7:C9</xm:sqref>
        </x14:conditionalFormatting>
        <x14:conditionalFormatting xmlns:xm="http://schemas.microsoft.com/office/excel/2006/main">
          <x14:cfRule type="dataBar" id="{169B5869-82E5-A644-9BFD-A5B5A39F94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B12:C13</xm:sqref>
        </x14:conditionalFormatting>
        <x14:conditionalFormatting xmlns:xm="http://schemas.microsoft.com/office/excel/2006/main">
          <x14:cfRule type="dataBar" id="{2AB35CE5-700E-2448-A7BB-CBA2286F479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B19:C21</xm:sqref>
        </x14:conditionalFormatting>
        <x14:conditionalFormatting xmlns:xm="http://schemas.microsoft.com/office/excel/2006/main">
          <x14:cfRule type="dataBar" id="{77207136-EAF6-C34E-9B3A-DBCEF9CBB5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C12:C13</xm:sqref>
        </x14:conditionalFormatting>
        <x14:conditionalFormatting xmlns:xm="http://schemas.microsoft.com/office/excel/2006/main">
          <x14:cfRule type="dataBar" id="{214BFF6E-B610-7944-B7B8-AA10ACEC77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4F31523-ADE3-4445-B8BE-4AF7B81CEC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B24:B26</xm:sqref>
        </x14:conditionalFormatting>
        <x14:conditionalFormatting xmlns:xm="http://schemas.microsoft.com/office/excel/2006/main">
          <x14:cfRule type="dataBar" id="{AEC965F3-323E-094F-85A0-003A70A0C12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B24:C26</xm:sqref>
        </x14:conditionalFormatting>
        <x14:conditionalFormatting xmlns:xm="http://schemas.microsoft.com/office/excel/2006/main">
          <x14:cfRule type="dataBar" id="{E1D177AC-92F2-DE42-A0E0-CF6BD76A18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B8DFD7DB-4BEA-4D48-BE93-ADF844F4FDB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B30:C32</xm:sqref>
        </x14:conditionalFormatting>
        <x14:conditionalFormatting xmlns:xm="http://schemas.microsoft.com/office/excel/2006/main">
          <x14:cfRule type="dataBar" id="{D24E9599-A82F-F948-A458-752EAF0C61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B33:B35</xm:sqref>
        </x14:conditionalFormatting>
        <x14:conditionalFormatting xmlns:xm="http://schemas.microsoft.com/office/excel/2006/main">
          <x14:cfRule type="dataBar" id="{B2CE2E24-CCB5-8B41-B95D-5BEBD392A4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B33:C35</xm:sqref>
        </x14:conditionalFormatting>
        <x14:conditionalFormatting xmlns:xm="http://schemas.microsoft.com/office/excel/2006/main">
          <x14:cfRule type="dataBar" id="{4A4016A9-BF2D-C649-AE06-7EC92BF934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B38:B40</xm:sqref>
        </x14:conditionalFormatting>
        <x14:conditionalFormatting xmlns:xm="http://schemas.microsoft.com/office/excel/2006/main">
          <x14:cfRule type="dataBar" id="{78F45EEA-3AC2-4246-B32D-68265A0F91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B38:C40</xm:sqref>
        </x14:conditionalFormatting>
        <x14:conditionalFormatting xmlns:xm="http://schemas.microsoft.com/office/excel/2006/main">
          <x14:cfRule type="dataBar" id="{8E638EEE-30A1-9441-BFE0-3DFEA4E56A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B41:B43</xm:sqref>
        </x14:conditionalFormatting>
        <x14:conditionalFormatting xmlns:xm="http://schemas.microsoft.com/office/excel/2006/main">
          <x14:cfRule type="dataBar" id="{24E5FECF-999A-6F44-958D-9FC883E2B69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B41:C43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D9A3-F52A-9F49-9320-E7222F603AC6}">
  <dimension ref="A3:S53"/>
  <sheetViews>
    <sheetView zoomScale="112" workbookViewId="0">
      <selection activeCell="O7" sqref="O7"/>
    </sheetView>
  </sheetViews>
  <sheetFormatPr baseColWidth="10" defaultRowHeight="15" x14ac:dyDescent="0.2"/>
  <cols>
    <col min="1" max="1" width="17.5" bestFit="1" customWidth="1"/>
    <col min="2" max="3" width="11.1640625" bestFit="1" customWidth="1"/>
    <col min="5" max="5" width="22.6640625" bestFit="1" customWidth="1"/>
    <col min="9" max="9" width="25" bestFit="1" customWidth="1"/>
  </cols>
  <sheetData>
    <row r="3" spans="1:19" ht="16" x14ac:dyDescent="0.2">
      <c r="A3" s="35" t="str" cm="1">
        <f t="array" ref="A3:A7">_xlfn.UNIQUE(_xlfn._xlws.FILTER(Manufacturer, (Manufacturer&lt;&gt;"")*(Manufacturer&lt;&gt;0)))</f>
        <v>Manufacturer</v>
      </c>
      <c r="B3" s="35" t="s">
        <v>133</v>
      </c>
      <c r="C3" s="35" t="s">
        <v>134</v>
      </c>
      <c r="D3" s="35" t="s">
        <v>136</v>
      </c>
      <c r="E3" s="35" t="s">
        <v>141</v>
      </c>
      <c r="F3" s="35" t="s">
        <v>137</v>
      </c>
      <c r="G3" s="35" t="s">
        <v>138</v>
      </c>
      <c r="H3" s="35" t="s">
        <v>139</v>
      </c>
      <c r="I3" s="35" t="s">
        <v>140</v>
      </c>
    </row>
    <row r="4" spans="1:19" ht="16" x14ac:dyDescent="0.2">
      <c r="A4" s="36" t="str">
        <v>Atria Medical</v>
      </c>
      <c r="B4" s="15">
        <f>SUMIFS(Measure_Vaules,Measure_Names, "Units", Year, 2022, Manufacturer, A4)</f>
        <v>149370</v>
      </c>
      <c r="C4" s="15">
        <f>SUMIFS(Measure_Vaules,Measure_Names, "Units", Year, 2024, Manufacturer, A4)</f>
        <v>198120</v>
      </c>
      <c r="D4" s="16">
        <f>(C4/B4)^(1/2) -1</f>
        <v>0.15168170827714222</v>
      </c>
      <c r="E4" s="16">
        <f>C4/$C$8</f>
        <v>0.23324150596877868</v>
      </c>
      <c r="F4" s="17">
        <f>SUMIFS(Measure_Vaules,Measure_Names, "Revenue", Year, 2022, Manufacturer, A4)</f>
        <v>275097730</v>
      </c>
      <c r="G4" s="17">
        <f>SUMIFS(Measure_Vaules,Measure_Names, "Revenue", Year, 2024, Manufacturer, A4)</f>
        <v>405316400</v>
      </c>
      <c r="H4" s="18">
        <f>(G4/F4)^(1/2) -1</f>
        <v>0.2138180320303813</v>
      </c>
      <c r="I4" s="16">
        <f>G4/$G$8</f>
        <v>0.19434943607259131</v>
      </c>
    </row>
    <row r="5" spans="1:19" ht="16" x14ac:dyDescent="0.2">
      <c r="A5" s="36" t="str">
        <v>BeneLife Devices</v>
      </c>
      <c r="B5" s="15">
        <f>SUMIFS(Measure_Vaules,Measure_Names, "Units", Year, 2022, Manufacturer, A5)</f>
        <v>13020</v>
      </c>
      <c r="C5" s="15">
        <f>SUMIFS(Measure_Vaules,Measure_Names, "Units", Year, 2024, Manufacturer, A5)</f>
        <v>62370</v>
      </c>
      <c r="D5" s="16">
        <f>(C5/B5)^(1/2) -1</f>
        <v>1.1886805570126402</v>
      </c>
      <c r="E5" s="16">
        <f>C5/$C$8</f>
        <v>7.3426573426573424E-2</v>
      </c>
      <c r="F5" s="17">
        <f>SUMIFS(Measure_Vaules,Measure_Names, "Revenue", Year, 2022, Manufacturer, A5)</f>
        <v>23264980</v>
      </c>
      <c r="G5" s="17">
        <f>SUMIFS(Measure_Vaules,Measure_Names, "Revenue", Year, 2024, Manufacturer, A5)</f>
        <v>417124630</v>
      </c>
      <c r="H5" s="18">
        <f>(G5/F5)^(1/2) -1</f>
        <v>3.2342995216066397</v>
      </c>
      <c r="I5" s="16">
        <f>G5/$G$8</f>
        <v>0.20001148883313949</v>
      </c>
    </row>
    <row r="6" spans="1:19" ht="16" x14ac:dyDescent="0.2">
      <c r="A6" s="36" t="str">
        <v>JustPulse Medical</v>
      </c>
      <c r="B6" s="15">
        <f>SUMIFS(Measure_Vaules,Measure_Names, "Units", Year, 2022, Manufacturer, A6)</f>
        <v>429340</v>
      </c>
      <c r="C6" s="15">
        <f>SUMIFS(Measure_Vaules,Measure_Names, "Units", Year, 2024, Manufacturer, A6)</f>
        <v>542320</v>
      </c>
      <c r="D6" s="16">
        <f>(C6/B6)^(1/2) -1</f>
        <v>0.12389861097992849</v>
      </c>
      <c r="E6" s="16">
        <f>C6/$C$8</f>
        <v>0.63845918391372936</v>
      </c>
      <c r="F6" s="17">
        <f>SUMIFS(Measure_Vaules,Measure_Names, "Revenue", Year, 2022, Manufacturer, A6)</f>
        <v>816958710</v>
      </c>
      <c r="G6" s="17">
        <f>SUMIFS(Measure_Vaules,Measure_Names, "Revenue", Year, 2024, Manufacturer, A6)</f>
        <v>1108577840</v>
      </c>
      <c r="H6" s="18">
        <f>(G6/F6)^(1/2) -1</f>
        <v>0.16488497273315872</v>
      </c>
      <c r="I6" s="16">
        <f>G6/$G$8</f>
        <v>0.53156368221609429</v>
      </c>
    </row>
    <row r="7" spans="1:19" ht="16" x14ac:dyDescent="0.2">
      <c r="A7" s="36" t="str">
        <v>MediStream Solutions</v>
      </c>
      <c r="B7" s="15">
        <f>SUMIFS(Measure_Vaules,Measure_Names, "Units", Year, 2022, Manufacturer, A7)</f>
        <v>59080</v>
      </c>
      <c r="C7" s="15">
        <f>SUMIFS(Measure_Vaules,Measure_Names, "Units", Year, 2024, Manufacturer, A7)</f>
        <v>46610</v>
      </c>
      <c r="D7" s="16">
        <f>(C7/B7)^(1/2) -1</f>
        <v>-0.11178253560924201</v>
      </c>
      <c r="E7" s="16">
        <f>C7/$C$8</f>
        <v>5.4872736690918508E-2</v>
      </c>
      <c r="F7" s="17">
        <f>SUMIFS(Measure_Vaules,Measure_Names, "Revenue", Year, 2022, Manufacturer, A7)</f>
        <v>150743790</v>
      </c>
      <c r="G7" s="17">
        <f>SUMIFS(Measure_Vaules,Measure_Names, "Revenue", Year, 2024, Manufacturer, A7)</f>
        <v>154484480</v>
      </c>
      <c r="H7" s="18">
        <f>(G7/F7)^(1/2) -1</f>
        <v>1.233141126729409E-2</v>
      </c>
      <c r="I7" s="16">
        <f>G7/$G$8</f>
        <v>7.4075392878174953E-2</v>
      </c>
    </row>
    <row r="8" spans="1:19" ht="16" x14ac:dyDescent="0.2">
      <c r="A8" s="36" t="s">
        <v>135</v>
      </c>
      <c r="B8" s="15">
        <f>SUM(B4:B7)</f>
        <v>650810</v>
      </c>
      <c r="C8" s="15">
        <f>SUM(C4:C7)</f>
        <v>849420</v>
      </c>
      <c r="D8" s="16">
        <f>(C8/B8)^(1/2) -1</f>
        <v>0.14244192541988077</v>
      </c>
      <c r="E8" s="16">
        <f>C8/$C$8</f>
        <v>1</v>
      </c>
      <c r="F8" s="17">
        <f>SUM(F4:F7)</f>
        <v>1266065210</v>
      </c>
      <c r="G8" s="17">
        <f>SUM(G4:G7)</f>
        <v>2085503350</v>
      </c>
      <c r="H8" s="18">
        <f>(G8/F8)^(1/2) -1</f>
        <v>0.2834454313867143</v>
      </c>
      <c r="I8" s="16">
        <f>G8/$G$8</f>
        <v>1</v>
      </c>
    </row>
    <row r="11" spans="1:19" x14ac:dyDescent="0.2">
      <c r="A11" s="42" t="s">
        <v>143</v>
      </c>
      <c r="B11" s="42"/>
      <c r="C11" s="42"/>
      <c r="D11" s="42"/>
      <c r="E11" s="42"/>
      <c r="F11" s="42"/>
      <c r="G11" s="42"/>
      <c r="H11" s="42"/>
      <c r="I11" s="42"/>
    </row>
    <row r="12" spans="1:19" ht="16" customHeight="1" x14ac:dyDescent="0.2">
      <c r="A12" s="42"/>
      <c r="B12" s="42"/>
      <c r="C12" s="42"/>
      <c r="D12" s="42"/>
      <c r="E12" s="42"/>
      <c r="F12" s="42"/>
      <c r="G12" s="42"/>
      <c r="H12" s="42"/>
      <c r="I12" s="42"/>
    </row>
    <row r="13" spans="1:19" x14ac:dyDescent="0.2">
      <c r="A13" s="42"/>
      <c r="B13" s="42"/>
      <c r="C13" s="42"/>
      <c r="D13" s="42"/>
      <c r="E13" s="42"/>
      <c r="F13" s="42"/>
      <c r="G13" s="42"/>
      <c r="H13" s="42"/>
      <c r="I13" s="42"/>
    </row>
    <row r="14" spans="1:19" x14ac:dyDescent="0.2">
      <c r="A14" s="42"/>
      <c r="B14" s="42"/>
      <c r="C14" s="42"/>
      <c r="D14" s="42"/>
      <c r="E14" s="42"/>
      <c r="F14" s="42"/>
      <c r="G14" s="42"/>
      <c r="H14" s="42"/>
      <c r="I14" s="42"/>
    </row>
    <row r="15" spans="1:19" x14ac:dyDescent="0.2">
      <c r="A15" s="42"/>
      <c r="B15" s="42"/>
      <c r="C15" s="42"/>
      <c r="D15" s="42"/>
      <c r="E15" s="42"/>
      <c r="F15" s="42"/>
      <c r="G15" s="42"/>
      <c r="H15" s="42"/>
      <c r="I15" s="42"/>
      <c r="L15" s="1"/>
      <c r="M15" s="1"/>
      <c r="N15" s="1"/>
      <c r="O15" s="1"/>
      <c r="P15" s="1"/>
      <c r="Q15" s="1"/>
      <c r="R15" s="1"/>
      <c r="S15" s="1"/>
    </row>
    <row r="16" spans="1:19" x14ac:dyDescent="0.2">
      <c r="A16" s="42"/>
      <c r="B16" s="42"/>
      <c r="C16" s="42"/>
      <c r="D16" s="42"/>
      <c r="E16" s="42"/>
      <c r="F16" s="42"/>
      <c r="G16" s="42"/>
      <c r="H16" s="42"/>
      <c r="I16" s="42"/>
      <c r="L16" s="1"/>
      <c r="M16" s="2"/>
      <c r="N16" s="2"/>
      <c r="O16" s="13"/>
      <c r="R16" s="13"/>
      <c r="S16" s="13"/>
    </row>
    <row r="17" spans="1:19" x14ac:dyDescent="0.2">
      <c r="A17" s="42"/>
      <c r="B17" s="42"/>
      <c r="C17" s="42"/>
      <c r="D17" s="42"/>
      <c r="E17" s="42"/>
      <c r="F17" s="42"/>
      <c r="G17" s="42"/>
      <c r="H17" s="42"/>
      <c r="I17" s="42"/>
      <c r="L17" s="1"/>
      <c r="M17" s="2"/>
      <c r="N17" s="2"/>
      <c r="O17" s="13"/>
      <c r="R17" s="13"/>
      <c r="S17" s="12"/>
    </row>
    <row r="18" spans="1:19" x14ac:dyDescent="0.2">
      <c r="A18" s="42"/>
      <c r="B18" s="42"/>
      <c r="C18" s="42"/>
      <c r="D18" s="42"/>
      <c r="E18" s="42"/>
      <c r="F18" s="42"/>
      <c r="G18" s="42"/>
      <c r="H18" s="42"/>
      <c r="I18" s="42"/>
      <c r="L18" s="1"/>
      <c r="M18" s="2"/>
      <c r="N18" s="2"/>
      <c r="O18" s="13"/>
      <c r="R18" s="13"/>
      <c r="S18" s="12"/>
    </row>
    <row r="19" spans="1:19" x14ac:dyDescent="0.2">
      <c r="A19" s="42"/>
      <c r="B19" s="42"/>
      <c r="C19" s="42"/>
      <c r="D19" s="42"/>
      <c r="E19" s="42"/>
      <c r="F19" s="42"/>
      <c r="G19" s="42"/>
      <c r="H19" s="42"/>
      <c r="I19" s="42"/>
      <c r="L19" s="1"/>
      <c r="M19" s="2"/>
      <c r="N19" s="2"/>
      <c r="O19" s="1"/>
      <c r="R19" s="13"/>
      <c r="S19" s="12"/>
    </row>
    <row r="20" spans="1:19" ht="16" customHeight="1" x14ac:dyDescent="0.2">
      <c r="A20" s="42"/>
      <c r="B20" s="42"/>
      <c r="C20" s="42"/>
      <c r="D20" s="42"/>
      <c r="E20" s="42"/>
      <c r="F20" s="42"/>
      <c r="G20" s="42"/>
      <c r="H20" s="42"/>
      <c r="I20" s="42"/>
      <c r="L20" s="1"/>
      <c r="M20" s="2"/>
      <c r="N20" s="2"/>
      <c r="O20" s="13"/>
      <c r="R20" s="13"/>
      <c r="S20" s="12"/>
    </row>
    <row r="21" spans="1:19" x14ac:dyDescent="0.2">
      <c r="A21" s="42"/>
      <c r="B21" s="42"/>
      <c r="C21" s="42"/>
      <c r="D21" s="42"/>
      <c r="E21" s="42"/>
      <c r="F21" s="42"/>
      <c r="G21" s="42"/>
      <c r="H21" s="42"/>
      <c r="I21" s="42"/>
    </row>
    <row r="22" spans="1:19" x14ac:dyDescent="0.2">
      <c r="A22" s="42"/>
      <c r="B22" s="42"/>
      <c r="C22" s="42"/>
      <c r="D22" s="42"/>
      <c r="E22" s="42"/>
      <c r="F22" s="42"/>
      <c r="G22" s="42"/>
      <c r="H22" s="42"/>
      <c r="I22" s="42"/>
    </row>
    <row r="23" spans="1:19" x14ac:dyDescent="0.2">
      <c r="A23" s="42"/>
      <c r="B23" s="42"/>
      <c r="C23" s="42"/>
      <c r="D23" s="42"/>
      <c r="E23" s="42"/>
      <c r="F23" s="42"/>
      <c r="G23" s="42"/>
      <c r="H23" s="42"/>
      <c r="I23" s="42"/>
    </row>
    <row r="24" spans="1:19" x14ac:dyDescent="0.2">
      <c r="A24" s="42"/>
      <c r="B24" s="42"/>
      <c r="C24" s="42"/>
      <c r="D24" s="42"/>
      <c r="E24" s="42"/>
      <c r="F24" s="42"/>
      <c r="G24" s="42"/>
      <c r="H24" s="42"/>
      <c r="I24" s="42"/>
    </row>
    <row r="25" spans="1:19" x14ac:dyDescent="0.2">
      <c r="A25" s="42"/>
      <c r="B25" s="42"/>
      <c r="C25" s="42"/>
      <c r="D25" s="42"/>
      <c r="E25" s="42"/>
      <c r="F25" s="42"/>
      <c r="G25" s="42"/>
      <c r="H25" s="42"/>
      <c r="I25" s="42"/>
    </row>
    <row r="26" spans="1:19" x14ac:dyDescent="0.2">
      <c r="A26" s="42"/>
      <c r="B26" s="42"/>
      <c r="C26" s="42"/>
      <c r="D26" s="42"/>
      <c r="E26" s="42"/>
      <c r="F26" s="42"/>
      <c r="G26" s="42"/>
      <c r="H26" s="42"/>
      <c r="I26" s="42"/>
    </row>
    <row r="27" spans="1:19" x14ac:dyDescent="0.2">
      <c r="A27" s="42"/>
      <c r="B27" s="42"/>
      <c r="C27" s="42"/>
      <c r="D27" s="42"/>
      <c r="E27" s="42"/>
      <c r="F27" s="42"/>
      <c r="G27" s="42"/>
      <c r="H27" s="42"/>
      <c r="I27" s="42"/>
    </row>
    <row r="28" spans="1:19" ht="16" customHeight="1" x14ac:dyDescent="0.2">
      <c r="A28" s="42"/>
      <c r="B28" s="42"/>
      <c r="C28" s="42"/>
      <c r="D28" s="42"/>
      <c r="E28" s="42"/>
      <c r="F28" s="42"/>
      <c r="G28" s="42"/>
      <c r="H28" s="42"/>
      <c r="I28" s="42"/>
    </row>
    <row r="29" spans="1:19" x14ac:dyDescent="0.2">
      <c r="A29" s="42"/>
      <c r="B29" s="42"/>
      <c r="C29" s="42"/>
      <c r="D29" s="42"/>
      <c r="E29" s="42"/>
      <c r="F29" s="42"/>
      <c r="G29" s="42"/>
      <c r="H29" s="42"/>
      <c r="I29" s="42"/>
    </row>
    <row r="30" spans="1:19" x14ac:dyDescent="0.2">
      <c r="A30" s="42"/>
      <c r="B30" s="42"/>
      <c r="C30" s="42"/>
      <c r="D30" s="42"/>
      <c r="E30" s="42"/>
      <c r="F30" s="42"/>
      <c r="G30" s="42"/>
      <c r="H30" s="42"/>
      <c r="I30" s="42"/>
    </row>
    <row r="31" spans="1:19" x14ac:dyDescent="0.2">
      <c r="A31" s="42"/>
      <c r="B31" s="42"/>
      <c r="C31" s="42"/>
      <c r="D31" s="42"/>
      <c r="E31" s="42"/>
      <c r="F31" s="42"/>
      <c r="G31" s="42"/>
      <c r="H31" s="42"/>
      <c r="I31" s="42"/>
    </row>
    <row r="32" spans="1:19" x14ac:dyDescent="0.2">
      <c r="A32" s="42"/>
      <c r="B32" s="42"/>
      <c r="C32" s="42"/>
      <c r="D32" s="42"/>
      <c r="E32" s="42"/>
      <c r="F32" s="42"/>
      <c r="G32" s="42"/>
      <c r="H32" s="42"/>
      <c r="I32" s="42"/>
    </row>
    <row r="33" spans="1:9" x14ac:dyDescent="0.2">
      <c r="A33" s="42"/>
      <c r="B33" s="42"/>
      <c r="C33" s="42"/>
      <c r="D33" s="42"/>
      <c r="E33" s="42"/>
      <c r="F33" s="42"/>
      <c r="G33" s="42"/>
      <c r="H33" s="42"/>
      <c r="I33" s="42"/>
    </row>
    <row r="34" spans="1:9" x14ac:dyDescent="0.2">
      <c r="A34" s="42"/>
      <c r="B34" s="42"/>
      <c r="C34" s="42"/>
      <c r="D34" s="42"/>
      <c r="E34" s="42"/>
      <c r="F34" s="42"/>
      <c r="G34" s="42"/>
      <c r="H34" s="42"/>
      <c r="I34" s="42"/>
    </row>
    <row r="35" spans="1:9" x14ac:dyDescent="0.2">
      <c r="A35" s="42"/>
      <c r="B35" s="42"/>
      <c r="C35" s="42"/>
      <c r="D35" s="42"/>
      <c r="E35" s="42"/>
      <c r="F35" s="42"/>
      <c r="G35" s="42"/>
      <c r="H35" s="42"/>
      <c r="I35" s="42"/>
    </row>
    <row r="36" spans="1:9" x14ac:dyDescent="0.2">
      <c r="A36" s="42"/>
      <c r="B36" s="42"/>
      <c r="C36" s="42"/>
      <c r="D36" s="42"/>
      <c r="E36" s="42"/>
      <c r="F36" s="42"/>
      <c r="G36" s="42"/>
      <c r="H36" s="42"/>
      <c r="I36" s="42"/>
    </row>
    <row r="37" spans="1:9" x14ac:dyDescent="0.2">
      <c r="A37" s="42"/>
      <c r="B37" s="42"/>
      <c r="C37" s="42"/>
      <c r="D37" s="42"/>
      <c r="E37" s="42"/>
      <c r="F37" s="42"/>
      <c r="G37" s="42"/>
      <c r="H37" s="42"/>
      <c r="I37" s="42"/>
    </row>
    <row r="38" spans="1:9" x14ac:dyDescent="0.2">
      <c r="A38" s="42"/>
      <c r="B38" s="42"/>
      <c r="C38" s="42"/>
      <c r="D38" s="42"/>
      <c r="E38" s="42"/>
      <c r="F38" s="42"/>
      <c r="G38" s="42"/>
      <c r="H38" s="42"/>
      <c r="I38" s="42"/>
    </row>
    <row r="39" spans="1:9" x14ac:dyDescent="0.2">
      <c r="A39" s="42"/>
      <c r="B39" s="42"/>
      <c r="C39" s="42"/>
      <c r="D39" s="42"/>
      <c r="E39" s="42"/>
      <c r="F39" s="42"/>
      <c r="G39" s="42"/>
      <c r="H39" s="42"/>
      <c r="I39" s="42"/>
    </row>
    <row r="40" spans="1:9" x14ac:dyDescent="0.2">
      <c r="A40" s="42"/>
      <c r="B40" s="42"/>
      <c r="C40" s="42"/>
      <c r="D40" s="42"/>
      <c r="E40" s="42"/>
      <c r="F40" s="42"/>
      <c r="G40" s="42"/>
      <c r="H40" s="42"/>
      <c r="I40" s="42"/>
    </row>
    <row r="41" spans="1:9" x14ac:dyDescent="0.2">
      <c r="A41" s="42"/>
      <c r="B41" s="42"/>
      <c r="C41" s="42"/>
      <c r="D41" s="42"/>
      <c r="E41" s="42"/>
      <c r="F41" s="42"/>
      <c r="G41" s="42"/>
      <c r="H41" s="42"/>
      <c r="I41" s="42"/>
    </row>
    <row r="42" spans="1:9" x14ac:dyDescent="0.2">
      <c r="A42" s="42"/>
      <c r="B42" s="42"/>
      <c r="C42" s="42"/>
      <c r="D42" s="42"/>
      <c r="E42" s="42"/>
      <c r="F42" s="42"/>
      <c r="G42" s="42"/>
      <c r="H42" s="42"/>
      <c r="I42" s="42"/>
    </row>
    <row r="43" spans="1:9" x14ac:dyDescent="0.2">
      <c r="A43" s="42"/>
      <c r="B43" s="42"/>
      <c r="C43" s="42"/>
      <c r="D43" s="42"/>
      <c r="E43" s="42"/>
      <c r="F43" s="42"/>
      <c r="G43" s="42"/>
      <c r="H43" s="42"/>
      <c r="I43" s="42"/>
    </row>
    <row r="44" spans="1:9" x14ac:dyDescent="0.2">
      <c r="A44" s="42"/>
      <c r="B44" s="42"/>
      <c r="C44" s="42"/>
      <c r="D44" s="42"/>
      <c r="E44" s="42"/>
      <c r="F44" s="42"/>
      <c r="G44" s="42"/>
      <c r="H44" s="42"/>
      <c r="I44" s="42"/>
    </row>
    <row r="45" spans="1:9" x14ac:dyDescent="0.2">
      <c r="A45" s="42"/>
      <c r="B45" s="42"/>
      <c r="C45" s="42"/>
      <c r="D45" s="42"/>
      <c r="E45" s="42"/>
      <c r="F45" s="42"/>
      <c r="G45" s="42"/>
      <c r="H45" s="42"/>
      <c r="I45" s="42"/>
    </row>
    <row r="46" spans="1:9" x14ac:dyDescent="0.2">
      <c r="A46" s="42"/>
      <c r="B46" s="42"/>
      <c r="C46" s="42"/>
      <c r="D46" s="42"/>
      <c r="E46" s="42"/>
      <c r="F46" s="42"/>
      <c r="G46" s="42"/>
      <c r="H46" s="42"/>
      <c r="I46" s="42"/>
    </row>
    <row r="47" spans="1:9" x14ac:dyDescent="0.2">
      <c r="A47" s="42"/>
      <c r="B47" s="42"/>
      <c r="C47" s="42"/>
      <c r="D47" s="42"/>
      <c r="E47" s="42"/>
      <c r="F47" s="42"/>
      <c r="G47" s="42"/>
      <c r="H47" s="42"/>
      <c r="I47" s="42"/>
    </row>
    <row r="48" spans="1:9" x14ac:dyDescent="0.2">
      <c r="A48" s="42"/>
      <c r="B48" s="42"/>
      <c r="C48" s="42"/>
      <c r="D48" s="42"/>
      <c r="E48" s="42"/>
      <c r="F48" s="42"/>
      <c r="G48" s="42"/>
      <c r="H48" s="42"/>
      <c r="I48" s="42"/>
    </row>
    <row r="49" spans="1:9" x14ac:dyDescent="0.2">
      <c r="A49" s="42"/>
      <c r="B49" s="42"/>
      <c r="C49" s="42"/>
      <c r="D49" s="42"/>
      <c r="E49" s="42"/>
      <c r="F49" s="42"/>
      <c r="G49" s="42"/>
      <c r="H49" s="42"/>
      <c r="I49" s="42"/>
    </row>
    <row r="50" spans="1:9" x14ac:dyDescent="0.2">
      <c r="A50" s="42"/>
      <c r="B50" s="42"/>
      <c r="C50" s="42"/>
      <c r="D50" s="42"/>
      <c r="E50" s="42"/>
      <c r="F50" s="42"/>
      <c r="G50" s="42"/>
      <c r="H50" s="42"/>
      <c r="I50" s="42"/>
    </row>
    <row r="51" spans="1:9" x14ac:dyDescent="0.2">
      <c r="A51" s="42"/>
      <c r="B51" s="42"/>
      <c r="C51" s="42"/>
      <c r="D51" s="42"/>
      <c r="E51" s="42"/>
      <c r="F51" s="42"/>
      <c r="G51" s="42"/>
      <c r="H51" s="42"/>
      <c r="I51" s="42"/>
    </row>
    <row r="52" spans="1:9" x14ac:dyDescent="0.2">
      <c r="A52" s="42"/>
      <c r="B52" s="42"/>
      <c r="C52" s="42"/>
      <c r="D52" s="42"/>
      <c r="E52" s="42"/>
      <c r="F52" s="42"/>
      <c r="G52" s="42"/>
      <c r="H52" s="42"/>
      <c r="I52" s="42"/>
    </row>
    <row r="53" spans="1:9" x14ac:dyDescent="0.2">
      <c r="A53" s="42"/>
      <c r="B53" s="42"/>
      <c r="C53" s="42"/>
      <c r="D53" s="42"/>
      <c r="E53" s="42"/>
      <c r="F53" s="42"/>
      <c r="G53" s="42"/>
      <c r="H53" s="42"/>
      <c r="I53" s="42"/>
    </row>
  </sheetData>
  <mergeCells count="1">
    <mergeCell ref="A11:I53"/>
  </mergeCells>
  <conditionalFormatting sqref="D4:D8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{2FEFA10B-7063-7F41-AE6E-4837E056E448}</x14:id>
        </ext>
      </extLst>
    </cfRule>
  </conditionalFormatting>
  <conditionalFormatting sqref="E4:E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{719270A3-F031-ED4E-B763-1BA78DB77F42}</x14:id>
        </ext>
      </extLst>
    </cfRule>
  </conditionalFormatting>
  <conditionalFormatting sqref="H4:H8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{22F698FA-F3F9-5942-A8CF-DB2C050D35BA}</x14:id>
        </ext>
      </extLst>
    </cfRule>
  </conditionalFormatting>
  <conditionalFormatting sqref="I4:I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{5A71B521-6B43-CC4D-AFE1-FFC72C8F8C40}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EFA10B-7063-7F41-AE6E-4837E056E4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D4:D8</xm:sqref>
        </x14:conditionalFormatting>
        <x14:conditionalFormatting xmlns:xm="http://schemas.microsoft.com/office/excel/2006/main">
          <x14:cfRule type="dataBar" id="{719270A3-F031-ED4E-B763-1BA78DB77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E4:E8</xm:sqref>
        </x14:conditionalFormatting>
        <x14:conditionalFormatting xmlns:xm="http://schemas.microsoft.com/office/excel/2006/main">
          <x14:cfRule type="dataBar" id="{22F698FA-F3F9-5942-A8CF-DB2C050D35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H4:H8</xm:sqref>
        </x14:conditionalFormatting>
        <x14:conditionalFormatting xmlns:xm="http://schemas.microsoft.com/office/excel/2006/main">
          <x14:cfRule type="dataBar" id="{5A71B521-6B43-CC4D-AFE1-FFC72C8F8C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I4:I8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4F3C-164C-BC4A-9AED-2A17D30C75DC}">
  <dimension ref="A1:L8"/>
  <sheetViews>
    <sheetView workbookViewId="0">
      <selection activeCell="F20" sqref="F20"/>
    </sheetView>
  </sheetViews>
  <sheetFormatPr baseColWidth="10" defaultRowHeight="15" x14ac:dyDescent="0.2"/>
  <cols>
    <col min="1" max="1" width="19.1640625" bestFit="1" customWidth="1"/>
    <col min="2" max="2" width="16.6640625" bestFit="1" customWidth="1"/>
    <col min="3" max="3" width="9.33203125" bestFit="1" customWidth="1"/>
    <col min="4" max="4" width="10.5" bestFit="1" customWidth="1"/>
    <col min="5" max="5" width="9.83203125" bestFit="1" customWidth="1"/>
    <col min="6" max="6" width="12.6640625" bestFit="1" customWidth="1"/>
    <col min="8" max="8" width="19.1640625" bestFit="1" customWidth="1"/>
    <col min="9" max="9" width="16.6640625" bestFit="1" customWidth="1"/>
    <col min="10" max="10" width="9.33203125" bestFit="1" customWidth="1"/>
    <col min="11" max="11" width="10.5" bestFit="1" customWidth="1"/>
    <col min="12" max="12" width="9.83203125" bestFit="1" customWidth="1"/>
  </cols>
  <sheetData>
    <row r="1" spans="1:12" x14ac:dyDescent="0.2">
      <c r="A1" s="5" t="s">
        <v>5</v>
      </c>
      <c r="B1" t="s">
        <v>103</v>
      </c>
      <c r="H1" s="5" t="s">
        <v>5</v>
      </c>
      <c r="I1" t="s">
        <v>103</v>
      </c>
    </row>
    <row r="3" spans="1:12" x14ac:dyDescent="0.2">
      <c r="A3" s="5" t="s">
        <v>117</v>
      </c>
      <c r="B3" s="5" t="s">
        <v>130</v>
      </c>
      <c r="H3" s="5" t="s">
        <v>117</v>
      </c>
      <c r="I3" s="5" t="s">
        <v>130</v>
      </c>
    </row>
    <row r="4" spans="1:12" x14ac:dyDescent="0.2">
      <c r="A4" s="5" t="s">
        <v>131</v>
      </c>
      <c r="B4" t="s">
        <v>8</v>
      </c>
      <c r="C4" t="s">
        <v>17</v>
      </c>
      <c r="D4" t="s">
        <v>45</v>
      </c>
      <c r="E4" t="s">
        <v>86</v>
      </c>
      <c r="H4" s="5" t="s">
        <v>131</v>
      </c>
      <c r="I4" t="s">
        <v>8</v>
      </c>
      <c r="J4" t="s">
        <v>17</v>
      </c>
      <c r="K4" t="s">
        <v>45</v>
      </c>
      <c r="L4" t="s">
        <v>86</v>
      </c>
    </row>
    <row r="5" spans="1:12" x14ac:dyDescent="0.2">
      <c r="A5" s="14" t="s">
        <v>97</v>
      </c>
      <c r="B5" s="11">
        <v>191770310</v>
      </c>
      <c r="C5" s="11">
        <v>758235210</v>
      </c>
      <c r="D5" s="11">
        <v>1259478790</v>
      </c>
      <c r="E5" s="11">
        <v>690405330</v>
      </c>
      <c r="H5" s="14" t="s">
        <v>98</v>
      </c>
      <c r="I5" s="2">
        <v>414870</v>
      </c>
      <c r="J5" s="2">
        <v>414050</v>
      </c>
      <c r="K5" s="2">
        <v>369350</v>
      </c>
      <c r="L5" s="2">
        <v>261520</v>
      </c>
    </row>
    <row r="6" spans="1:12" x14ac:dyDescent="0.2">
      <c r="A6" s="40">
        <v>2022</v>
      </c>
      <c r="B6" s="11">
        <v>53121150</v>
      </c>
      <c r="C6" s="11">
        <v>192472900</v>
      </c>
      <c r="D6" s="11">
        <v>361615450</v>
      </c>
      <c r="E6" s="11">
        <v>209749210</v>
      </c>
      <c r="H6" s="40">
        <v>2022</v>
      </c>
      <c r="I6" s="2">
        <v>122370</v>
      </c>
      <c r="J6" s="2">
        <v>114340</v>
      </c>
      <c r="K6" s="2">
        <v>111530</v>
      </c>
      <c r="L6" s="2">
        <v>81100</v>
      </c>
    </row>
    <row r="7" spans="1:12" x14ac:dyDescent="0.2">
      <c r="A7" s="40">
        <v>2023</v>
      </c>
      <c r="B7" s="11">
        <v>63374780</v>
      </c>
      <c r="C7" s="11">
        <v>259046050</v>
      </c>
      <c r="D7" s="11">
        <v>435628950</v>
      </c>
      <c r="E7" s="11">
        <v>216303310</v>
      </c>
      <c r="H7" s="40">
        <v>2023</v>
      </c>
      <c r="I7" s="2">
        <v>137460</v>
      </c>
      <c r="J7" s="2">
        <v>139210</v>
      </c>
      <c r="K7" s="2">
        <v>130130</v>
      </c>
      <c r="L7" s="2">
        <v>81330</v>
      </c>
    </row>
    <row r="8" spans="1:12" x14ac:dyDescent="0.2">
      <c r="A8" s="40">
        <v>2024</v>
      </c>
      <c r="B8" s="11">
        <v>75274380</v>
      </c>
      <c r="C8" s="11">
        <v>306716260</v>
      </c>
      <c r="D8" s="11">
        <v>462234390</v>
      </c>
      <c r="E8" s="11">
        <v>264352810</v>
      </c>
      <c r="H8" s="40">
        <v>2024</v>
      </c>
      <c r="I8" s="2">
        <v>155040</v>
      </c>
      <c r="J8" s="2">
        <v>160500</v>
      </c>
      <c r="K8" s="2">
        <v>127690</v>
      </c>
      <c r="L8" s="2">
        <v>99090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4F19-FC75-374A-929C-AC01843C2716}">
  <dimension ref="A2:U8"/>
  <sheetViews>
    <sheetView workbookViewId="0">
      <selection activeCell="K37" sqref="K37"/>
    </sheetView>
  </sheetViews>
  <sheetFormatPr baseColWidth="10" defaultRowHeight="15" x14ac:dyDescent="0.2"/>
  <cols>
    <col min="1" max="1" width="11.6640625" bestFit="1" customWidth="1"/>
    <col min="4" max="4" width="11.83203125" bestFit="1" customWidth="1"/>
    <col min="6" max="7" width="12.5" bestFit="1" customWidth="1"/>
    <col min="8" max="8" width="14.5" bestFit="1" customWidth="1"/>
    <col min="9" max="9" width="25" bestFit="1" customWidth="1"/>
    <col min="13" max="13" width="14.1640625" bestFit="1" customWidth="1"/>
    <col min="14" max="15" width="9.83203125" bestFit="1" customWidth="1"/>
    <col min="16" max="16" width="11.83203125" bestFit="1" customWidth="1"/>
    <col min="17" max="17" width="22.6640625" bestFit="1" customWidth="1"/>
    <col min="18" max="19" width="12.5" bestFit="1" customWidth="1"/>
    <col min="20" max="20" width="14.5" bestFit="1" customWidth="1"/>
    <col min="21" max="21" width="25" bestFit="1" customWidth="1"/>
  </cols>
  <sheetData>
    <row r="2" spans="1:21" x14ac:dyDescent="0.2">
      <c r="M2" s="43" t="s">
        <v>103</v>
      </c>
    </row>
    <row r="3" spans="1:21" ht="16" x14ac:dyDescent="0.2">
      <c r="A3" s="35" t="str" cm="1">
        <f t="array" ref="A3:A7">_xlfn.UNIQUE(_xlfn._xlws.FILTER(Product, (Product&lt;&gt;"")*(Product&lt;&gt;0)))</f>
        <v>Product Type</v>
      </c>
      <c r="B3" s="35" t="s">
        <v>133</v>
      </c>
      <c r="C3" s="35" t="s">
        <v>134</v>
      </c>
      <c r="D3" s="35" t="s">
        <v>136</v>
      </c>
      <c r="E3" s="35" t="s">
        <v>141</v>
      </c>
      <c r="F3" s="35" t="s">
        <v>137</v>
      </c>
      <c r="G3" s="35" t="s">
        <v>138</v>
      </c>
      <c r="H3" s="35" t="s">
        <v>139</v>
      </c>
      <c r="I3" s="35" t="s">
        <v>140</v>
      </c>
      <c r="M3" s="35" t="str" cm="1">
        <f t="array" ref="M3:M7">_xlfn.UNIQUE(_xlfn._xlws.FILTER(Product, (Product&lt;&gt;"")*(Product&lt;&gt;0)))</f>
        <v>Product Type</v>
      </c>
      <c r="N3" s="35" t="s">
        <v>133</v>
      </c>
      <c r="O3" s="35" t="s">
        <v>134</v>
      </c>
      <c r="P3" s="35" t="s">
        <v>136</v>
      </c>
      <c r="Q3" s="35" t="s">
        <v>141</v>
      </c>
      <c r="R3" s="35" t="s">
        <v>137</v>
      </c>
      <c r="S3" s="35" t="s">
        <v>138</v>
      </c>
      <c r="T3" s="35" t="s">
        <v>139</v>
      </c>
      <c r="U3" s="35" t="s">
        <v>140</v>
      </c>
    </row>
    <row r="4" spans="1:21" ht="16" x14ac:dyDescent="0.2">
      <c r="A4" s="36" t="str">
        <v>Accessories</v>
      </c>
      <c r="B4" s="15">
        <f>SUMIFS(Measure_Vaules,Measure_Names, "Units", Year, 2022, Product, A4)</f>
        <v>188200</v>
      </c>
      <c r="C4" s="15">
        <f>SUMIFS(Measure_Vaules,Measure_Names, "Units", Year, 2024, Product, A4)</f>
        <v>238880</v>
      </c>
      <c r="D4" s="16">
        <f>(C4/B4)^(1/2) -1</f>
        <v>0.12662681998007042</v>
      </c>
      <c r="E4" s="16">
        <f>C4/$C$8</f>
        <v>0.2812271903180994</v>
      </c>
      <c r="F4" s="17">
        <f>SUMIFS(Measure_Vaules,Measure_Names, "Revenue", Year, 2022, Product, A4)</f>
        <v>124249630</v>
      </c>
      <c r="G4" s="17">
        <f>SUMIFS(Measure_Vaules,Measure_Names, "Revenue", Year, 2024, Product, A4)</f>
        <v>170566630</v>
      </c>
      <c r="H4" s="18">
        <f>(G4/F4)^(1/2) -1</f>
        <v>0.17165427745798878</v>
      </c>
      <c r="I4" s="16">
        <f>G4/$G$8</f>
        <v>8.1786792622510054E-2</v>
      </c>
      <c r="M4" s="36" t="str">
        <v>Accessories</v>
      </c>
      <c r="N4" s="15">
        <f>SUMIFS(Measure_Vaules,Measure_Names, "Units", Year, 2022, Product, M4, Manufacturer, $M$2)</f>
        <v>122370</v>
      </c>
      <c r="O4" s="15">
        <f>SUMIFS(Measure_Vaules,Measure_Names, "Units", Year, 2024, Product, M4, Manufacturer, $M$2)</f>
        <v>155040</v>
      </c>
      <c r="P4" s="16">
        <f>(O4/N4)^(1/2) -1</f>
        <v>0.1256008174722465</v>
      </c>
      <c r="Q4" s="16">
        <f>O4/$C$8</f>
        <v>0.1825245461609098</v>
      </c>
      <c r="R4" s="17">
        <f>SUMIFS(Measure_Vaules,Measure_Names, "Revenue", Year, 2022, Product, M4,Manufacturer, $M$2)</f>
        <v>53121150</v>
      </c>
      <c r="S4" s="17">
        <f>SUMIFS(Measure_Vaules,Measure_Names, "Revenue", Year, 2024, Product, M4,Manufacturer, $M$2)</f>
        <v>75274380</v>
      </c>
      <c r="T4" s="18">
        <f>(S4/R4)^(1/2) -1</f>
        <v>0.19039161583042308</v>
      </c>
      <c r="U4" s="16">
        <f>S4/$G$8</f>
        <v>3.6094106489927238E-2</v>
      </c>
    </row>
    <row r="5" spans="1:21" ht="16" x14ac:dyDescent="0.2">
      <c r="A5" s="36" t="str">
        <v>Diagnostic</v>
      </c>
      <c r="B5" s="15">
        <f>SUMIFS(Measure_Vaules,Measure_Names, "Units", Year, 2022, Product, A5)</f>
        <v>170170</v>
      </c>
      <c r="C5" s="15">
        <f>SUMIFS(Measure_Vaules,Measure_Names, "Units", Year, 2024, Product, A5)</f>
        <v>222340</v>
      </c>
      <c r="D5" s="16">
        <f>(C5/B5)^(1/2) -1</f>
        <v>0.1430554567316551</v>
      </c>
      <c r="E5" s="16">
        <f>C5/$C$8</f>
        <v>0.26175507993689812</v>
      </c>
      <c r="F5" s="17">
        <f>SUMIFS(Measure_Vaules,Measure_Names, "Revenue", Year, 2022, Product, A5)</f>
        <v>275292580</v>
      </c>
      <c r="G5" s="17">
        <f>SUMIFS(Measure_Vaules,Measure_Names, "Revenue", Year, 2024, Product, A5)</f>
        <v>414972100</v>
      </c>
      <c r="H5" s="18">
        <f>(G5/F5)^(1/2) -1</f>
        <v>0.22775637069516086</v>
      </c>
      <c r="I5" s="16">
        <f>G5/$G$8</f>
        <v>0.19897934951770757</v>
      </c>
      <c r="M5" s="36" t="str">
        <v>Diagnostic</v>
      </c>
      <c r="N5" s="15">
        <f>SUMIFS(Measure_Vaules,Measure_Names, "Units", Year, 2022, Product, M5, Manufacturer, $M$2)</f>
        <v>114340</v>
      </c>
      <c r="O5" s="15">
        <f>SUMIFS(Measure_Vaules,Measure_Names, "Units", Year, 2024, Product, M5, Manufacturer, $M$2)</f>
        <v>160500</v>
      </c>
      <c r="P5" s="16">
        <f>(O5/N5)^(1/2) -1</f>
        <v>0.18478193714568047</v>
      </c>
      <c r="Q5" s="16">
        <f>O5/$C$8</f>
        <v>0.1889524616797344</v>
      </c>
      <c r="R5" s="17">
        <f>SUMIFS(Measure_Vaules,Measure_Names, "Revenue", Year, 2022, Product, M5,Manufacturer, $M$2)</f>
        <v>192472900</v>
      </c>
      <c r="S5" s="17">
        <f>SUMIFS(Measure_Vaules,Measure_Names, "Revenue", Year, 2024, Product, M5,Manufacturer, $M$2)</f>
        <v>306716260</v>
      </c>
      <c r="T5" s="18">
        <f>(S5/R5)^(1/2) -1</f>
        <v>0.26236110534556101</v>
      </c>
      <c r="U5" s="16">
        <f>S5/$G$8</f>
        <v>0.14707061487098547</v>
      </c>
    </row>
    <row r="6" spans="1:21" ht="16" x14ac:dyDescent="0.2">
      <c r="A6" s="36" t="str">
        <v>Therapeutic</v>
      </c>
      <c r="B6" s="15">
        <f>SUMIFS(Measure_Vaules,Measure_Names, "Units", Year, 2022, Product, A6)</f>
        <v>187010</v>
      </c>
      <c r="C6" s="15">
        <f>SUMIFS(Measure_Vaules,Measure_Names, "Units", Year, 2024, Product, A6)</f>
        <v>253970</v>
      </c>
      <c r="D6" s="16">
        <f>(C6/B6)^(1/2) -1</f>
        <v>0.16535647719721847</v>
      </c>
      <c r="E6" s="16">
        <f>C6/$C$8</f>
        <v>0.29899225353770809</v>
      </c>
      <c r="F6" s="17">
        <f>SUMIFS(Measure_Vaules,Measure_Names, "Revenue", Year, 2022, Product, A6)</f>
        <v>607917820</v>
      </c>
      <c r="G6" s="17">
        <f>SUMIFS(Measure_Vaules,Measure_Names, "Revenue", Year, 2024, Product, A6)</f>
        <v>1164477720</v>
      </c>
      <c r="H6" s="18">
        <f>(G6/F6)^(1/2) -1</f>
        <v>0.38402251351631245</v>
      </c>
      <c r="I6" s="16">
        <f>G6/$G$8</f>
        <v>0.5583677053311854</v>
      </c>
      <c r="M6" s="36" t="str">
        <v>Therapeutic</v>
      </c>
      <c r="N6" s="15">
        <f>SUMIFS(Measure_Vaules,Measure_Names, "Units", Year, 2022, Product, M6, Manufacturer, $M$2)</f>
        <v>111530</v>
      </c>
      <c r="O6" s="15">
        <f>SUMIFS(Measure_Vaules,Measure_Names, "Units", Year, 2024, Product, M6, Manufacturer, $M$2)</f>
        <v>127690</v>
      </c>
      <c r="P6" s="16">
        <f>(O6/N6)^(1/2) -1</f>
        <v>6.9997079697130538E-2</v>
      </c>
      <c r="Q6" s="16">
        <f>O6/$C$8</f>
        <v>0.15032610487155942</v>
      </c>
      <c r="R6" s="17">
        <f>SUMIFS(Measure_Vaules,Measure_Names, "Revenue", Year, 2022, Product, M6,Manufacturer, $M$2)</f>
        <v>361615450</v>
      </c>
      <c r="S6" s="17">
        <f>SUMIFS(Measure_Vaules,Measure_Names, "Revenue", Year, 2024, Product, M6,Manufacturer, $M$2)</f>
        <v>462234390</v>
      </c>
      <c r="T6" s="18">
        <f>(S6/R6)^(1/2) -1</f>
        <v>0.13059650373715126</v>
      </c>
      <c r="U6" s="16">
        <f>S6/$G$8</f>
        <v>0.22164164349100662</v>
      </c>
    </row>
    <row r="7" spans="1:21" ht="16" x14ac:dyDescent="0.2">
      <c r="A7" s="36" t="str">
        <v>Ultrasound</v>
      </c>
      <c r="B7" s="15">
        <f>SUMIFS(Measure_Vaules,Measure_Names, "Units", Year, 2022, Product, A7)</f>
        <v>105430</v>
      </c>
      <c r="C7" s="15">
        <f>SUMIFS(Measure_Vaules,Measure_Names, "Units", Year, 2024, Product, A7)</f>
        <v>134230</v>
      </c>
      <c r="D7" s="16">
        <f>(C7/B7)^(1/2) -1</f>
        <v>0.12834703449649854</v>
      </c>
      <c r="E7" s="16">
        <f>C7/$C$8</f>
        <v>0.1580254762072944</v>
      </c>
      <c r="F7" s="17">
        <f>SUMIFS(Measure_Vaules,Measure_Names, "Revenue", Year, 2022, Product, A7)</f>
        <v>258605180</v>
      </c>
      <c r="G7" s="17">
        <f>SUMIFS(Measure_Vaules,Measure_Names, "Revenue", Year, 2024, Product, A7)</f>
        <v>335486900</v>
      </c>
      <c r="H7" s="18">
        <f>(G7/F7)^(1/2) -1</f>
        <v>0.13898806530540786</v>
      </c>
      <c r="I7" s="16">
        <f>G7/$G$8</f>
        <v>0.16086615252859698</v>
      </c>
      <c r="M7" s="36" t="str">
        <v>Ultrasound</v>
      </c>
      <c r="N7" s="15">
        <f>SUMIFS(Measure_Vaules,Measure_Names, "Units", Year, 2022, Product, M7, Manufacturer, $M$2)</f>
        <v>81100</v>
      </c>
      <c r="O7" s="15">
        <f>SUMIFS(Measure_Vaules,Measure_Names, "Units", Year, 2024, Product, M7, Manufacturer, $M$2)</f>
        <v>99090</v>
      </c>
      <c r="P7" s="16">
        <f>(O7/N7)^(1/2) -1</f>
        <v>0.10536188984494044</v>
      </c>
      <c r="Q7" s="16">
        <f>O7/$C$8</f>
        <v>0.11665607120152574</v>
      </c>
      <c r="R7" s="17">
        <f>SUMIFS(Measure_Vaules,Measure_Names, "Revenue", Year, 2022, Product, M7,Manufacturer, $M$2)</f>
        <v>209749210</v>
      </c>
      <c r="S7" s="17">
        <f>SUMIFS(Measure_Vaules,Measure_Names, "Revenue", Year, 2024, Product, M7,Manufacturer, $M$2)</f>
        <v>264352810</v>
      </c>
      <c r="T7" s="18">
        <f>(S7/R7)^(1/2) -1</f>
        <v>0.12264332560061497</v>
      </c>
      <c r="U7" s="16">
        <f>S7/$G$8</f>
        <v>0.12675731736417495</v>
      </c>
    </row>
    <row r="8" spans="1:21" ht="16" x14ac:dyDescent="0.2">
      <c r="A8" s="36" t="s">
        <v>135</v>
      </c>
      <c r="B8" s="15">
        <f>SUM(B4:B7)</f>
        <v>650810</v>
      </c>
      <c r="C8" s="15">
        <f>SUM(C4:C7)</f>
        <v>849420</v>
      </c>
      <c r="D8" s="16">
        <f>(C8/B8)^(1/2) -1</f>
        <v>0.14244192541988077</v>
      </c>
      <c r="E8" s="16">
        <f>C8/$C$8</f>
        <v>1</v>
      </c>
      <c r="F8" s="17">
        <f>SUM(F4:F7)</f>
        <v>1266065210</v>
      </c>
      <c r="G8" s="17">
        <f>SUM(G4:G7)</f>
        <v>2085503350</v>
      </c>
      <c r="H8" s="18">
        <f>(G8/F8)^(1/2) -1</f>
        <v>0.2834454313867143</v>
      </c>
      <c r="I8" s="16">
        <f>G8/$G$8</f>
        <v>1</v>
      </c>
      <c r="M8" s="36" t="s">
        <v>135</v>
      </c>
      <c r="N8" s="15">
        <f>SUM(N4:N7)</f>
        <v>429340</v>
      </c>
      <c r="O8" s="15">
        <f>SUM(O4:O7)</f>
        <v>542320</v>
      </c>
      <c r="P8" s="16">
        <f>(O8/N8)^(1/2) -1</f>
        <v>0.12389861097992849</v>
      </c>
      <c r="Q8" s="16">
        <f>O8/$C$8</f>
        <v>0.63845918391372936</v>
      </c>
      <c r="R8" s="17">
        <f>SUM(R4:R7)</f>
        <v>816958710</v>
      </c>
      <c r="S8" s="17">
        <f>SUM(S4:S7)</f>
        <v>1108577840</v>
      </c>
      <c r="T8" s="18">
        <f>(S8/R8)^(1/2) -1</f>
        <v>0.16488497273315872</v>
      </c>
      <c r="U8" s="16">
        <f>S8/$G$8</f>
        <v>0.53156368221609429</v>
      </c>
    </row>
  </sheetData>
  <conditionalFormatting sqref="D4:D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{6275D0FE-BBCF-A041-AC51-BE769A89512B}</x14:id>
        </ext>
      </extLst>
    </cfRule>
  </conditionalFormatting>
  <conditionalFormatting sqref="E4:E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{DA9EB797-5E84-874C-877D-5918DA894E09}</x14:id>
        </ext>
      </extLst>
    </cfRule>
  </conditionalFormatting>
  <conditionalFormatting sqref="H4:H8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{08033DB1-A748-3E4B-B15B-6D030D1A6DC4}</x14:id>
        </ext>
      </extLst>
    </cfRule>
  </conditionalFormatting>
  <conditionalFormatting sqref="I4:I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{616E817B-1AF1-8B48-B6E4-5C2A2C902A3C}</x14:id>
        </ext>
      </extLst>
    </cfRule>
  </conditionalFormatting>
  <conditionalFormatting sqref="P4:P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{E8D314EA-DDF0-2047-A48F-280273700C65}</x14:id>
        </ext>
      </extLst>
    </cfRule>
  </conditionalFormatting>
  <conditionalFormatting sqref="Q4:Q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{67933272-4302-FE43-A957-026822EA83BD}</x14:id>
        </ext>
      </extLst>
    </cfRule>
  </conditionalFormatting>
  <conditionalFormatting sqref="T4:T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{5481AD47-88A1-4245-8265-A30F694E18C2}</x14:id>
        </ext>
      </extLst>
    </cfRule>
  </conditionalFormatting>
  <conditionalFormatting sqref="U4:U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{27F0DB80-4225-1C44-B839-45A7C2F11128}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75D0FE-BBCF-A041-AC51-BE769A8951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D4:D8</xm:sqref>
        </x14:conditionalFormatting>
        <x14:conditionalFormatting xmlns:xm="http://schemas.microsoft.com/office/excel/2006/main">
          <x14:cfRule type="dataBar" id="{DA9EB797-5E84-874C-877D-5918DA894E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E4:E8</xm:sqref>
        </x14:conditionalFormatting>
        <x14:conditionalFormatting xmlns:xm="http://schemas.microsoft.com/office/excel/2006/main">
          <x14:cfRule type="dataBar" id="{08033DB1-A748-3E4B-B15B-6D030D1A6DC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H4:H8</xm:sqref>
        </x14:conditionalFormatting>
        <x14:conditionalFormatting xmlns:xm="http://schemas.microsoft.com/office/excel/2006/main">
          <x14:cfRule type="dataBar" id="{616E817B-1AF1-8B48-B6E4-5C2A2C902A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I4:I8</xm:sqref>
        </x14:conditionalFormatting>
        <x14:conditionalFormatting xmlns:xm="http://schemas.microsoft.com/office/excel/2006/main">
          <x14:cfRule type="dataBar" id="{E8D314EA-DDF0-2047-A48F-280273700C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P4:P8</xm:sqref>
        </x14:conditionalFormatting>
        <x14:conditionalFormatting xmlns:xm="http://schemas.microsoft.com/office/excel/2006/main">
          <x14:cfRule type="dataBar" id="{67933272-4302-FE43-A957-026822EA83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Q4:Q8</xm:sqref>
        </x14:conditionalFormatting>
        <x14:conditionalFormatting xmlns:xm="http://schemas.microsoft.com/office/excel/2006/main">
          <x14:cfRule type="dataBar" id="{5481AD47-88A1-4245-8265-A30F694E18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T4:T8</xm:sqref>
        </x14:conditionalFormatting>
        <x14:conditionalFormatting xmlns:xm="http://schemas.microsoft.com/office/excel/2006/main">
          <x14:cfRule type="dataBar" id="{27F0DB80-4225-1C44-B839-45A7C2F111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U4:U8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17</vt:i4>
      </vt:variant>
    </vt:vector>
  </HeadingPairs>
  <TitlesOfParts>
    <vt:vector size="28" baseType="lpstr">
      <vt:lpstr>Raw Market Data</vt:lpstr>
      <vt:lpstr>Transformed Market Data</vt:lpstr>
      <vt:lpstr>Dashboard</vt:lpstr>
      <vt:lpstr>Product Revenue&amp;Units</vt:lpstr>
      <vt:lpstr>Manufacturer Revenue&amp;Units</vt:lpstr>
      <vt:lpstr>Company market share</vt:lpstr>
      <vt:lpstr>Growth trend</vt:lpstr>
      <vt:lpstr>Forecast </vt:lpstr>
      <vt:lpstr>Future Scope</vt:lpstr>
      <vt:lpstr>Market share yearly</vt:lpstr>
      <vt:lpstr>2024 market share by Product</vt:lpstr>
      <vt:lpstr>CAGR_Revenue</vt:lpstr>
      <vt:lpstr>CAGR_Units</vt:lpstr>
      <vt:lpstr>JustPulse_Revenue</vt:lpstr>
      <vt:lpstr>JustPulse_Units</vt:lpstr>
      <vt:lpstr>Manufacturer</vt:lpstr>
      <vt:lpstr>Market_Revenue</vt:lpstr>
      <vt:lpstr>Market_Units</vt:lpstr>
      <vt:lpstr>Measure_Names</vt:lpstr>
      <vt:lpstr>Measure_Vaules</vt:lpstr>
      <vt:lpstr>Product</vt:lpstr>
      <vt:lpstr>Revenue_2022</vt:lpstr>
      <vt:lpstr>Revenue_2023</vt:lpstr>
      <vt:lpstr>Revenue_2024</vt:lpstr>
      <vt:lpstr>Units_2022</vt:lpstr>
      <vt:lpstr>Units_2023</vt:lpstr>
      <vt:lpstr>Units_2024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Geiman, Devin [BWIUS]</dc:creator>
  <cp:lastModifiedBy>Aastha kshatriya</cp:lastModifiedBy>
  <dcterms:created xsi:type="dcterms:W3CDTF">2025-08-15T19:08:34Z</dcterms:created>
  <dcterms:modified xsi:type="dcterms:W3CDTF">2025-11-12T20:51:54Z</dcterms:modified>
</cp:coreProperties>
</file>